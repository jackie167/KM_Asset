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Total Asset" sheetId="2" r:id="rId2"/>
    <sheet name="Investment" sheetId="3" r:id="rId3"/>
    <sheet name="Cashflow" sheetId="4" r:id="rId4"/>
    <sheet name="Income" sheetId="5" r:id="rId5"/>
    <sheet name="Bank" sheetId="6" r:id="rId6"/>
    <sheet name="Financial fun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59" formatCode="0.0%"/>
    <numFmt numFmtId="60" formatCode="#,##0.0%"/>
    <numFmt numFmtId="61" formatCode="#,##0&quot; &quot;;(#,##0)"/>
    <numFmt numFmtId="62" formatCode="#,##0.00000"/>
    <numFmt numFmtId="63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symbol</v>
      </c>
      <c r="B1" t="str">
        <v>type</v>
      </c>
      <c r="C1" t="str">
        <v>quantity</v>
      </c>
      <c r="D1" t="str">
        <v>current_price</v>
      </c>
      <c r="E1" t="str">
        <v>total_value</v>
      </c>
      <c r="F1" t="str">
        <v>giá trị</v>
      </c>
      <c r="G1" t="str">
        <v>tỷ trọng</v>
      </c>
    </row>
    <row r="2">
      <c r="A2" t="str">
        <v>REE</v>
      </c>
      <c r="B2" t="str">
        <v>stock</v>
      </c>
      <c r="C2">
        <v>2400</v>
      </c>
      <c r="D2">
        <v>64000</v>
      </c>
      <c r="E2">
        <v>153600000</v>
      </c>
    </row>
    <row r="3">
      <c r="A3" t="str">
        <v>SJC_1L</v>
      </c>
      <c r="B3" t="str">
        <v>gold</v>
      </c>
      <c r="C3">
        <v>10.8</v>
      </c>
      <c r="D3">
        <v>180000000</v>
      </c>
      <c r="E3">
        <v>1944000000</v>
      </c>
    </row>
    <row r="4">
      <c r="A4" t="str">
        <v>MWG</v>
      </c>
      <c r="B4" t="str">
        <v>stock</v>
      </c>
      <c r="C4">
        <v>3900</v>
      </c>
      <c r="D4">
        <v>83700</v>
      </c>
      <c r="E4">
        <v>326430000</v>
      </c>
    </row>
    <row r="5">
      <c r="A5" t="str">
        <v>PNJ</v>
      </c>
      <c r="B5" t="str">
        <v>stock</v>
      </c>
      <c r="C5">
        <v>2400</v>
      </c>
      <c r="D5">
        <v>115000</v>
      </c>
      <c r="E5">
        <v>276000000</v>
      </c>
    </row>
    <row r="6">
      <c r="A6" t="str">
        <v>MBB</v>
      </c>
      <c r="B6" t="str">
        <v>stock</v>
      </c>
      <c r="C6">
        <v>10000</v>
      </c>
      <c r="D6">
        <v>26300</v>
      </c>
      <c r="E6">
        <v>263000000</v>
      </c>
    </row>
    <row r="7">
      <c r="A7" t="str">
        <v>FPT</v>
      </c>
      <c r="B7" t="str">
        <v>stock</v>
      </c>
      <c r="C7">
        <v>3130</v>
      </c>
      <c r="D7">
        <v>78600</v>
      </c>
      <c r="E7">
        <v>246018000</v>
      </c>
    </row>
    <row r="8">
      <c r="A8" t="str">
        <v>ACB</v>
      </c>
      <c r="B8" t="str">
        <v>stock</v>
      </c>
      <c r="C8">
        <v>10200</v>
      </c>
      <c r="D8">
        <v>23750</v>
      </c>
      <c r="E8">
        <v>242250000</v>
      </c>
    </row>
    <row r="9">
      <c r="A9" t="str">
        <v>VCB</v>
      </c>
      <c r="B9" t="str">
        <v>stock</v>
      </c>
      <c r="C9">
        <v>3400</v>
      </c>
      <c r="D9">
        <v>60500</v>
      </c>
      <c r="E9">
        <v>205700000</v>
      </c>
    </row>
    <row r="10">
      <c r="A10" t="str">
        <v>CTG</v>
      </c>
      <c r="B10" t="str">
        <v>stock</v>
      </c>
      <c r="C10">
        <v>4300</v>
      </c>
      <c r="D10">
        <v>35000</v>
      </c>
      <c r="E10">
        <v>150500000</v>
      </c>
    </row>
    <row r="11">
      <c r="A11" t="str">
        <v>HPG</v>
      </c>
      <c r="B11" t="str">
        <v>stock</v>
      </c>
      <c r="C11">
        <v>5400</v>
      </c>
      <c r="D11">
        <v>26800</v>
      </c>
      <c r="E11">
        <v>144720000</v>
      </c>
    </row>
    <row r="12">
      <c r="A12" t="str">
        <v>DGC</v>
      </c>
      <c r="B12" t="str">
        <v>stock</v>
      </c>
      <c r="C12">
        <v>1500</v>
      </c>
      <c r="D12">
        <v>64000</v>
      </c>
      <c r="E12">
        <v>96000000</v>
      </c>
    </row>
    <row r="13">
      <c r="A13" t="str">
        <v>CTR</v>
      </c>
      <c r="B13" t="str">
        <v>stock</v>
      </c>
      <c r="C13">
        <v>1200</v>
      </c>
      <c r="D13">
        <v>82500</v>
      </c>
      <c r="E13">
        <v>99000000</v>
      </c>
    </row>
    <row r="14">
      <c r="A14" t="str">
        <v>TCB</v>
      </c>
      <c r="B14" t="str">
        <v>stock</v>
      </c>
      <c r="C14">
        <v>3000</v>
      </c>
      <c r="D14">
        <v>30300</v>
      </c>
      <c r="E14">
        <v>90900000</v>
      </c>
    </row>
    <row r="15">
      <c r="A15" t="str">
        <v>BMP</v>
      </c>
      <c r="B15" t="str">
        <v>stock</v>
      </c>
      <c r="C15">
        <v>600</v>
      </c>
      <c r="D15">
        <v>136700</v>
      </c>
      <c r="E15">
        <v>82020000</v>
      </c>
    </row>
    <row r="16">
      <c r="A16" t="str">
        <v>SSI</v>
      </c>
      <c r="B16" t="str">
        <v>stock</v>
      </c>
      <c r="C16">
        <v>1700</v>
      </c>
      <c r="D16">
        <v>28000</v>
      </c>
      <c r="E16">
        <v>47600000</v>
      </c>
    </row>
    <row r="17">
      <c r="A17" t="str">
        <v>BTC</v>
      </c>
      <c r="B17" t="str">
        <v>crypto</v>
      </c>
      <c r="C17">
        <v>0.091</v>
      </c>
      <c r="D17">
        <v>1947466903</v>
      </c>
      <c r="E17">
        <v>177219488</v>
      </c>
    </row>
    <row r="18">
      <c r="A18" t="str">
        <v>ETH</v>
      </c>
      <c r="B18" t="str">
        <v>crypto</v>
      </c>
      <c r="C18">
        <v>0.846</v>
      </c>
      <c r="D18">
        <v>61123669</v>
      </c>
      <c r="E18">
        <v>51710624</v>
      </c>
    </row>
    <row r="19">
      <c r="A19" t="str">
        <v>PAXG</v>
      </c>
      <c r="B19" t="str">
        <v>crypto</v>
      </c>
      <c r="C19">
        <v>0.896</v>
      </c>
      <c r="D19">
        <v>130767714</v>
      </c>
      <c r="E19">
        <v>117167872</v>
      </c>
    </row>
    <row r="20">
      <c r="A20" t="str">
        <v>BNB</v>
      </c>
      <c r="B20" t="str">
        <v>crypto</v>
      </c>
      <c r="C20">
        <v>0.464</v>
      </c>
      <c r="D20">
        <v>17723985</v>
      </c>
      <c r="E20">
        <v>8223929</v>
      </c>
    </row>
    <row r="21">
      <c r="A21" t="str">
        <v>SOL</v>
      </c>
      <c r="B21" t="str">
        <v>crypto</v>
      </c>
      <c r="C21">
        <v>4.302</v>
      </c>
      <c r="D21">
        <v>2477722</v>
      </c>
      <c r="E21">
        <v>10659160</v>
      </c>
    </row>
    <row r="22">
      <c r="A22" t="str">
        <v>XRP</v>
      </c>
      <c r="B22" t="str">
        <v>crypto</v>
      </c>
      <c r="C22">
        <v>242.318</v>
      </c>
      <c r="D22">
        <v>39883</v>
      </c>
      <c r="E22">
        <v>9664369</v>
      </c>
    </row>
    <row r="23">
      <c r="A23" t="str">
        <v>AVAX</v>
      </c>
      <c r="B23" t="str">
        <v>crypto</v>
      </c>
      <c r="C23">
        <v>29.074</v>
      </c>
      <c r="D23">
        <v>269189</v>
      </c>
      <c r="E23">
        <v>7826401</v>
      </c>
    </row>
    <row r="24">
      <c r="A24" t="str">
        <v>ADA</v>
      </c>
      <c r="B24" t="str">
        <v>crypto</v>
      </c>
      <c r="C24">
        <v>651.452</v>
      </c>
      <c r="D24">
        <v>7631.11</v>
      </c>
      <c r="E24">
        <v>4971302</v>
      </c>
    </row>
    <row r="25">
      <c r="A25" t="str">
        <v>DOT</v>
      </c>
      <c r="B25" t="str">
        <v>crypto</v>
      </c>
      <c r="C25">
        <v>64.338</v>
      </c>
      <c r="D25">
        <v>43000</v>
      </c>
      <c r="E25">
        <v>2766534</v>
      </c>
    </row>
    <row r="26">
      <c r="A26" t="str">
        <v>LINK</v>
      </c>
      <c r="B26" t="str">
        <v>crypto</v>
      </c>
      <c r="C26">
        <v>16.717</v>
      </c>
      <c r="D26">
        <v>257953</v>
      </c>
      <c r="E26">
        <v>4312200</v>
      </c>
    </row>
    <row r="27">
      <c r="A27" t="str">
        <v>CASH</v>
      </c>
      <c r="B27" t="str">
        <v>tiền mặt</v>
      </c>
      <c r="C27">
        <v>1</v>
      </c>
      <c r="D27">
        <v>6214043000</v>
      </c>
      <c r="E27">
        <v>6214043000</v>
      </c>
    </row>
    <row r="28">
      <c r="A28" t="str">
        <v>CCQ</v>
      </c>
      <c r="B28" t="str">
        <v>chứng chỉ quỹ</v>
      </c>
      <c r="C28">
        <v>1</v>
      </c>
      <c r="D28">
        <v>1058323000</v>
      </c>
      <c r="E28">
        <v>1058323000</v>
      </c>
    </row>
    <row r="29">
      <c r="A29" t="str">
        <v>DAT_NEN</v>
      </c>
      <c r="B29" t="str">
        <v>bất động sản</v>
      </c>
      <c r="C29">
        <v>1</v>
      </c>
      <c r="D29">
        <v>16068000000</v>
      </c>
      <c r="E29">
        <v>16068000000</v>
      </c>
    </row>
    <row r="30">
      <c r="A30" t="str">
        <v>TIEU_DUNG</v>
      </c>
      <c r="B30" t="str">
        <v>quỹ tiêu dùng</v>
      </c>
      <c r="C30">
        <v>1</v>
      </c>
      <c r="D30">
        <v>1153190000</v>
      </c>
      <c r="E30">
        <v>1153190000</v>
      </c>
    </row>
    <row r="31">
      <c r="A31" t="str">
        <v>Lãi suất tiết kiệm</v>
      </c>
      <c r="F31">
        <v>0.065</v>
      </c>
    </row>
    <row r="32">
      <c r="A32" t="str">
        <v>Trượt giá</v>
      </c>
      <c r="F32">
        <v>0.025</v>
      </c>
    </row>
    <row r="33">
      <c r="A33" t="str">
        <v>Vàng</v>
      </c>
      <c r="F33">
        <v>0.08</v>
      </c>
    </row>
    <row r="34">
      <c r="A34" t="str">
        <v>BDS</v>
      </c>
      <c r="F34">
        <v>0.12</v>
      </c>
    </row>
    <row r="35">
      <c r="A35" t="str">
        <v>BDS</v>
      </c>
      <c r="F35">
        <v>0.12</v>
      </c>
    </row>
    <row r="36">
      <c r="A36" t="str">
        <v>BDS</v>
      </c>
      <c r="F36">
        <v>0.1</v>
      </c>
    </row>
    <row r="37">
      <c r="A37" t="str">
        <v>Ls vay ngắn hạn</v>
      </c>
      <c r="F37" cm="1">
        <f t="array" ref="F37">F31+1.5%</f>
        <v>0.08</v>
      </c>
    </row>
    <row r="38">
      <c r="A38" t="str">
        <v>Ls vay dài hạn</v>
      </c>
      <c r="F38" cm="1">
        <f t="array" ref="F38">F31+4%</f>
        <v>0.105</v>
      </c>
    </row>
    <row r="39">
      <c r="A39" t="str">
        <v>Mạo hiểm</v>
      </c>
      <c r="F39">
        <v>0.15</v>
      </c>
    </row>
    <row r="40">
      <c r="A40" t="str">
        <v>Trung bình lợi nhuận</v>
      </c>
      <c r="F40">
        <v>0.09</v>
      </c>
    </row>
    <row r="41">
      <c r="A41" t="str">
        <v>Chứng khoán</v>
      </c>
      <c r="F41">
        <v>0.158</v>
      </c>
    </row>
    <row r="42">
      <c r="A42" t="str">
        <v>CCQ</v>
      </c>
      <c r="F42">
        <v>0.12</v>
      </c>
    </row>
    <row r="43">
      <c r="A43" t="str">
        <v>Cổ phiếu</v>
      </c>
      <c r="F43">
        <v>0.15</v>
      </c>
    </row>
    <row r="44">
      <c r="A44" t="str">
        <v>Quỹ ETF</v>
      </c>
      <c r="F44" cm="1">
        <f t="array" ref="F44">F41</f>
        <v>0.158</v>
      </c>
    </row>
    <row r="45">
      <c r="A45" t="str">
        <v>Gold price</v>
      </c>
      <c r="F45" cm="1">
        <f t="array" ref="F45">D3/1000</f>
        <v>180000</v>
      </c>
    </row>
    <row r="46">
      <c r="A46" t="str">
        <v>Usd price</v>
      </c>
      <c r="F46">
        <v>26700</v>
      </c>
    </row>
    <row r="47">
      <c r="A47" t="str">
        <v>Tỷ trọng vàng</v>
      </c>
      <c r="G47">
        <v>0.2</v>
      </c>
    </row>
    <row r="48">
      <c r="A48" t="str">
        <v>Tỷ trọng crypto</v>
      </c>
      <c r="G48">
        <v>0.1</v>
      </c>
    </row>
    <row r="49">
      <c r="A49" t="str">
        <v>Tỷ trọng ccq</v>
      </c>
      <c r="G49">
        <v>0.1</v>
      </c>
    </row>
  </sheetData>
  <pageMargins left="1" right="1" top="1" bottom="1" header="0.25" footer="0.25"/>
  <ignoredErrors>
    <ignoredError numberStoredAsText="1" sqref="A1:G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1"/>
  <sheetViews>
    <sheetView workbookViewId="0" rightToLeft="0"/>
  </sheetViews>
  <sheetData>
    <row r="1">
      <c r="A1" t="str">
        <v>Year</v>
      </c>
      <c r="B1" t="str">
        <v>Tổng Tài sản</v>
      </c>
      <c r="C1" t="str">
        <v>Tài sản ròng</v>
      </c>
      <c r="D1" t="str">
        <v>Nợ</v>
      </c>
      <c r="E1" t="str">
        <v>Tiền mặt</v>
      </c>
      <c r="F1" t="str">
        <v>Vàng</v>
      </c>
      <c r="G1" t="str">
        <v>Quỹ đầu tư</v>
      </c>
      <c r="H1" t="str">
        <v>Crypto</v>
      </c>
      <c r="I1" t="str">
        <v>Free cash</v>
      </c>
      <c r="J1" t="str">
        <v>BDS</v>
      </c>
      <c r="K1" t="str">
        <v>KK</v>
      </c>
      <c r="L1" t="str">
        <v>Mặt đường 664</v>
      </c>
      <c r="M1" t="str">
        <v>Đất NN 1</v>
      </c>
      <c r="N1" t="str">
        <v>Đất NN 9 ha</v>
      </c>
      <c r="O1" t="str">
        <v>NN Iakha</v>
      </c>
      <c r="P1" t="str">
        <v>Tiêu sản</v>
      </c>
      <c r="Q1" t="str">
        <v>Kho xưởng</v>
      </c>
      <c r="R1" t="str">
        <v>Năng lượng MT</v>
      </c>
      <c r="S1" t="str">
        <v>Ng Tất Thành</v>
      </c>
    </row>
    <row r="2">
      <c r="A2" t="str">
        <v>2025</v>
      </c>
      <c r="B2">
        <v>88797729999.9119</v>
      </c>
      <c r="C2">
        <v>87114451466.9119</v>
      </c>
      <c r="D2">
        <v>-1683278533</v>
      </c>
      <c r="E2">
        <v>1220000000</v>
      </c>
      <c r="F2">
        <v>1497440000</v>
      </c>
      <c r="G2">
        <v>2539348000</v>
      </c>
      <c r="H2">
        <v>278176000</v>
      </c>
      <c r="I2">
        <v>6150845501.4686</v>
      </c>
      <c r="K2">
        <v>3926037000</v>
      </c>
      <c r="L2">
        <v>16080000000</v>
      </c>
      <c r="M2">
        <v>10495200000</v>
      </c>
      <c r="N2">
        <v>11622500000</v>
      </c>
      <c r="O2">
        <v>4138219000</v>
      </c>
      <c r="P2">
        <v>1515564000</v>
      </c>
      <c r="Q2">
        <v>2992140000</v>
      </c>
      <c r="R2">
        <v>1522350000</v>
      </c>
      <c r="S2">
        <v>19800000000</v>
      </c>
    </row>
    <row r="3">
      <c r="A3" t="str">
        <v>2026</v>
      </c>
      <c r="B3" cm="1">
        <f t="array" ref="B3">C3-D3</f>
        <v>91645672508.7361</v>
      </c>
      <c r="C3" cm="1">
        <f t="array" ref="C3">SUM(D3:S3)</f>
        <v>89962394508.7361</v>
      </c>
      <c r="D3" cm="1">
        <f t="array" ref="D3">'Bank'!B2</f>
        <v>-1683278000</v>
      </c>
      <c r="E3" cm="1">
        <f t="array" ref="E3">'Financial fund'!D2</f>
        <v>1065000000</v>
      </c>
      <c r="F3" cm="1">
        <f t="array" ref="F3">'Financial fund'!G2</f>
        <v>2993337720</v>
      </c>
      <c r="G3" cm="1">
        <f t="array" ref="G3">'Financial fund'!M2+'Financial fund'!J2</f>
        <v>7985071795</v>
      </c>
      <c r="H3" cm="1">
        <f t="array" ref="H3">'Financial fund'!P2</f>
        <v>1052548425</v>
      </c>
      <c r="I3" cm="1">
        <f t="array" ref="I3">'Cashflow'!B2</f>
        <v>527394568.73607</v>
      </c>
      <c r="K3" cm="1">
        <f t="array" ref="K3">K2</f>
        <v>3926037000</v>
      </c>
      <c r="L3" cm="1">
        <f t="array" ref="L3">L2*(1+'Info'!$F$35)-'Income'!I2</f>
        <v>18009600000</v>
      </c>
      <c r="M3" cm="1">
        <f t="array" ref="M3">M2*(1+'Info'!$F$35)</f>
        <v>11754624000</v>
      </c>
      <c r="N3" cm="1">
        <f t="array" ref="N3">N2*(1+'Info'!$F$36)</f>
        <v>12784750000</v>
      </c>
      <c r="O3" cm="1">
        <f t="array" ref="O3">O2</f>
        <v>4138219000</v>
      </c>
      <c r="P3" cm="1">
        <f t="array" ref="P3">P2</f>
        <v>1515564000</v>
      </c>
      <c r="Q3" cm="1">
        <f t="array" ref="Q3">Q2*(100%-10%)</f>
        <v>2692926000</v>
      </c>
      <c r="R3" cm="1">
        <f t="array" ref="R3">R2-2035000000*5%</f>
        <v>1420600000</v>
      </c>
      <c r="S3" cm="1">
        <f t="array" ref="S3">S2*(1+'Info'!$F$36)</f>
        <v>21780000000</v>
      </c>
    </row>
    <row r="4">
      <c r="A4" t="str">
        <v>2027</v>
      </c>
      <c r="B4" cm="1">
        <f t="array" ref="B4">C4-D4</f>
        <v>100363617189.855</v>
      </c>
      <c r="C4" cm="1">
        <f t="array" ref="C4">SUM(D4:S4)</f>
        <v>98680339189.8548</v>
      </c>
      <c r="D4" cm="1">
        <f t="array" ref="D4">'Bank'!B3</f>
        <v>-1683278000</v>
      </c>
      <c r="E4" cm="1">
        <f t="array" ref="E4">'Financial fund'!D3</f>
        <v>1134225000</v>
      </c>
      <c r="F4" cm="1">
        <f t="array" ref="F4">'Financial fund'!G3</f>
        <v>3346721964.44699</v>
      </c>
      <c r="G4" cm="1">
        <f t="array" ref="G4">'Financial fund'!M3+'Financial fund'!J3</f>
        <v>9534778417.97013</v>
      </c>
      <c r="H4" cm="1">
        <f t="array" ref="H4">'Financial fund'!P3</f>
        <v>1271081064.15465</v>
      </c>
      <c r="I4" cm="1">
        <f t="array" ref="I4">'Cashflow'!B3</f>
        <v>397351463.28305</v>
      </c>
      <c r="K4" cm="1">
        <f t="array" ref="K4">K3</f>
        <v>3926037000</v>
      </c>
      <c r="L4" cm="1">
        <f t="array" ref="L4">L3*(1+'Info'!$F$35)-'Income'!I3</f>
        <v>20170752000</v>
      </c>
      <c r="M4" cm="1">
        <f t="array" ref="M4">M3*(1+'Info'!$F$35)</f>
        <v>13165178880</v>
      </c>
      <c r="N4" cm="1">
        <f t="array" ref="N4">N3*(1+'Info'!$F$36)</f>
        <v>14063225000</v>
      </c>
      <c r="O4" cm="1">
        <f t="array" ref="O4">O3</f>
        <v>4138219000</v>
      </c>
      <c r="P4" cm="1">
        <f t="array" ref="P4">P3</f>
        <v>1515564000</v>
      </c>
      <c r="Q4" cm="1">
        <f t="array" ref="Q4">Q3*(100%-10%)</f>
        <v>2423633400</v>
      </c>
      <c r="R4" cm="1">
        <f t="array" ref="R4">R3-2035000000*5%</f>
        <v>1318850000</v>
      </c>
      <c r="S4" cm="1">
        <f t="array" ref="S4">S3*(1+'Info'!$F$36)</f>
        <v>23958000000</v>
      </c>
    </row>
    <row r="5">
      <c r="A5" t="str">
        <v>2028</v>
      </c>
      <c r="B5" cm="1">
        <f t="array" ref="B5">C5-D5</f>
        <v>110198702022.869</v>
      </c>
      <c r="C5" cm="1">
        <f t="array" ref="C5">SUM(D5:S5)</f>
        <v>108515424022.869</v>
      </c>
      <c r="D5" cm="1">
        <f t="array" ref="D5">'Bank'!B4</f>
        <v>-1683278000</v>
      </c>
      <c r="E5" cm="1">
        <f t="array" ref="E5">'Financial fund'!D4</f>
        <v>1207949625</v>
      </c>
      <c r="F5" cm="1">
        <f t="array" ref="F5">'Financial fund'!G4</f>
        <v>3700287637.67189</v>
      </c>
      <c r="G5" cm="1">
        <f t="array" ref="G5">'Financial fund'!M4+'Financial fund'!J4</f>
        <v>11203337616.0463</v>
      </c>
      <c r="H5" cm="1">
        <f t="array" ref="H5">'Financial fund'!P4</f>
        <v>1507438642.0554</v>
      </c>
      <c r="I5" cm="1">
        <f t="array" ref="I5">'Cashflow'!B4</f>
        <v>441908356.49563</v>
      </c>
      <c r="K5" cm="1">
        <f t="array" ref="K5">K4</f>
        <v>3926037000</v>
      </c>
      <c r="L5" cm="1">
        <f t="array" ref="L5">L4*(1+'Info'!$F$35)-'Income'!I4</f>
        <v>22591242240</v>
      </c>
      <c r="M5" cm="1">
        <f t="array" ref="M5">M4*(1+'Info'!$F$35)</f>
        <v>14745000345.6</v>
      </c>
      <c r="N5" cm="1">
        <f t="array" ref="N5">N4*(1+'Info'!$F$36)</f>
        <v>15469547500</v>
      </c>
      <c r="O5" cm="1">
        <f t="array" ref="O5">O4</f>
        <v>4138219000</v>
      </c>
      <c r="P5" cm="1">
        <f t="array" ref="P5">P4</f>
        <v>1515564000</v>
      </c>
      <c r="Q5" cm="1">
        <f t="array" ref="Q5">Q4*(100%-10%)</f>
        <v>2181270060</v>
      </c>
      <c r="R5" cm="1">
        <f t="array" ref="R5">R4-2035000000*5%</f>
        <v>1217100000</v>
      </c>
      <c r="S5" cm="1">
        <f t="array" ref="S5">S4*(1+'Info'!$F$36)</f>
        <v>26353800000</v>
      </c>
    </row>
    <row r="6">
      <c r="A6" t="str">
        <v>2029</v>
      </c>
      <c r="B6" cm="1">
        <f t="array" ref="B6">C6-D6</f>
        <v>121269830317.337</v>
      </c>
      <c r="C6" cm="1">
        <f t="array" ref="C6">SUM(D6:S6)</f>
        <v>119586552317.337</v>
      </c>
      <c r="D6" cm="1">
        <f t="array" ref="D6">'Bank'!B5</f>
        <v>-1683278000</v>
      </c>
      <c r="E6" cm="1">
        <f t="array" ref="E6">'Financial fund'!D5</f>
        <v>1286466350.625</v>
      </c>
      <c r="F6" cm="1">
        <f t="array" ref="F6">'Financial fund'!G5</f>
        <v>4091762853.6887</v>
      </c>
      <c r="G6" cm="1">
        <f t="array" ref="G6">'Financial fund'!M5+'Financial fund'!J5</f>
        <v>13148060248.4004</v>
      </c>
      <c r="H6" cm="1">
        <f t="array" ref="H6">'Financial fund'!P5</f>
        <v>1784373899.3607</v>
      </c>
      <c r="I6" cm="1">
        <f t="array" ref="I6">'Cashflow'!B5</f>
        <v>478579965.39026</v>
      </c>
      <c r="K6" cm="1">
        <f t="array" ref="K6">K5</f>
        <v>3926037000</v>
      </c>
      <c r="L6" cm="1">
        <f t="array" ref="L6">L5*(1+'Info'!$F$35)-'Income'!I5</f>
        <v>25302191308.8</v>
      </c>
      <c r="M6" cm="1">
        <f t="array" ref="M6">M5*(1+'Info'!$F$35)</f>
        <v>16514400387.072</v>
      </c>
      <c r="N6" cm="1">
        <f t="array" ref="N6">N5*(1+'Info'!$F$36)</f>
        <v>17016502250</v>
      </c>
      <c r="O6" cm="1">
        <f t="array" ref="O6">O5</f>
        <v>4138219000</v>
      </c>
      <c r="P6" cm="1">
        <f t="array" ref="P6">P5</f>
        <v>1515564000</v>
      </c>
      <c r="Q6" cm="1">
        <f t="array" ref="Q6">Q5*(100%-10%)</f>
        <v>1963143054</v>
      </c>
      <c r="R6" cm="1">
        <f t="array" ref="R6">R5-2035000000*5%</f>
        <v>1115350000</v>
      </c>
      <c r="S6" cm="1">
        <f t="array" ref="S6">S5*(1+'Info'!$F$36)</f>
        <v>28989180000</v>
      </c>
    </row>
    <row r="7">
      <c r="A7" t="str">
        <v>2030</v>
      </c>
      <c r="B7" cm="1">
        <f t="array" ref="B7">C7-D7</f>
        <v>133754826796</v>
      </c>
      <c r="C7" cm="1">
        <f t="array" ref="C7">SUM(D7:S7)</f>
        <v>132071548796</v>
      </c>
      <c r="D7" cm="1">
        <f t="array" ref="D7">'Bank'!B6</f>
        <v>-1683278000</v>
      </c>
      <c r="E7" cm="1">
        <f t="array" ref="E7">'Financial fund'!D6</f>
        <v>1370086663.41563</v>
      </c>
      <c r="F7" cm="1">
        <f t="array" ref="F7">'Financial fund'!G6</f>
        <v>4522477154.50809</v>
      </c>
      <c r="G7" cm="1">
        <f t="array" ref="G7">'Financial fund'!M6+'Financial fund'!J6</f>
        <v>15402904159.6426</v>
      </c>
      <c r="H7" cm="1">
        <f t="array" ref="H7">'Financial fund'!P6</f>
        <v>2107066680.28469</v>
      </c>
      <c r="I7" cm="1">
        <f t="array" ref="I7">'Cashflow'!B6</f>
        <v>551210215.1727</v>
      </c>
      <c r="K7" cm="1">
        <f t="array" ref="K7">K6</f>
        <v>3926037000</v>
      </c>
      <c r="L7" cm="1">
        <f t="array" ref="L7">L6*(1+'Info'!$F$35)-'Income'!I6</f>
        <v>28338454265.856</v>
      </c>
      <c r="M7" cm="1">
        <f t="array" ref="M7">M6*(1+'Info'!$F$35)</f>
        <v>18496128433.5206</v>
      </c>
      <c r="N7" cm="1">
        <f t="array" ref="N7">N6*(1+'Info'!$F$36)</f>
        <v>18718152475</v>
      </c>
      <c r="O7" cm="1">
        <f t="array" ref="O7">O6</f>
        <v>4138219000</v>
      </c>
      <c r="P7" cm="1">
        <f t="array" ref="P7">P6</f>
        <v>1515564000</v>
      </c>
      <c r="Q7" cm="1">
        <f t="array" ref="Q7">Q6*(100%-10%)</f>
        <v>1766828748.6</v>
      </c>
      <c r="R7" cm="1">
        <f t="array" ref="R7">R6-2035000000*5%</f>
        <v>1013600000</v>
      </c>
      <c r="S7" cm="1">
        <f t="array" ref="S7">S6*(1+'Info'!$F$36)</f>
        <v>31888098000</v>
      </c>
    </row>
    <row r="8">
      <c r="A8" t="str">
        <v>2031</v>
      </c>
      <c r="B8" cm="1">
        <f t="array" ref="B8">C8-D8</f>
        <v>147757403376.872</v>
      </c>
      <c r="C8" cm="1">
        <f t="array" ref="C8">SUM(D8:S8)</f>
        <v>146074125376.872</v>
      </c>
      <c r="D8" cm="1">
        <f t="array" ref="D8">'Bank'!B7</f>
        <v>-1683278000</v>
      </c>
      <c r="E8" cm="1">
        <f t="array" ref="E8">'Financial fund'!D7</f>
        <v>1459142296.53765</v>
      </c>
      <c r="F8" cm="1">
        <f t="array" ref="F8">'Financial fund'!G7</f>
        <v>5003336733.34604</v>
      </c>
      <c r="G8" cm="1">
        <f t="array" ref="G8">'Financial fund'!M7+'Financial fund'!J7</f>
        <v>18041898767.5209</v>
      </c>
      <c r="H8" cm="1">
        <f t="array" ref="H8">'Financial fund'!P7</f>
        <v>2486515857.07225</v>
      </c>
      <c r="I8" cm="1">
        <f t="array" ref="I8">'Cashflow'!B7</f>
        <v>563085702.85342</v>
      </c>
      <c r="K8" cm="1">
        <f t="array" ref="K8">K7</f>
        <v>3926037000</v>
      </c>
      <c r="L8" cm="1">
        <f t="array" ref="L8">L7*(1+'Info'!$F$35)-'Income'!I7</f>
        <v>31739068777.7587</v>
      </c>
      <c r="M8" cm="1">
        <f t="array" ref="M8">M7*(1+'Info'!$F$35)</f>
        <v>20715663845.5431</v>
      </c>
      <c r="N8" cm="1">
        <f t="array" ref="N8">N7*(1+'Info'!$F$36)</f>
        <v>20589967722.5</v>
      </c>
      <c r="O8" cm="1">
        <f t="array" ref="O8">O7</f>
        <v>4138219000</v>
      </c>
      <c r="P8" cm="1">
        <f t="array" ref="P8">P7</f>
        <v>1515564000</v>
      </c>
      <c r="Q8" cm="1">
        <f t="array" ref="Q8">Q7*(100%-10%)</f>
        <v>1590145873.74</v>
      </c>
      <c r="R8" cm="1">
        <f t="array" ref="R8">R7-2035000000*5%</f>
        <v>911850000</v>
      </c>
      <c r="S8" cm="1">
        <f t="array" ref="S8">S7*(1+'Info'!$F$36)</f>
        <v>35076907800</v>
      </c>
    </row>
    <row r="9">
      <c r="A9" t="str">
        <v>2032</v>
      </c>
      <c r="B9" cm="1">
        <f t="array" ref="B9">C9-D9</f>
        <v>163455374878.771</v>
      </c>
      <c r="C9" cm="1">
        <f t="array" ref="C9">SUM(D9:S9)</f>
        <v>161772096878.771</v>
      </c>
      <c r="D9" cm="1">
        <f t="array" ref="D9">'Bank'!B8</f>
        <v>-1683278000</v>
      </c>
      <c r="E9" cm="1">
        <f t="array" ref="E9">'Financial fund'!D8</f>
        <v>1553986545.8126</v>
      </c>
      <c r="F9" cm="1">
        <f t="array" ref="F9">'Financial fund'!G8</f>
        <v>5525230183.83006</v>
      </c>
      <c r="G9" cm="1">
        <f t="array" ref="G9">'Financial fund'!M8+'Financial fund'!J8</f>
        <v>21072558948.4113</v>
      </c>
      <c r="H9" cm="1">
        <f t="array" ref="H9">'Financial fund'!P8</f>
        <v>2924248091.46123</v>
      </c>
      <c r="I9" cm="1">
        <f t="array" ref="I9">'Cashflow'!B8</f>
        <v>575436210.04137</v>
      </c>
      <c r="K9" cm="1">
        <f t="array" ref="K9">K8</f>
        <v>3926037000</v>
      </c>
      <c r="L9" cm="1">
        <f t="array" ref="L9">L8*(1+'Info'!$F$35)-'Income'!I8</f>
        <v>35547757031.0897</v>
      </c>
      <c r="M9" cm="1">
        <f t="array" ref="M9">M8*(1+'Info'!$F$35)</f>
        <v>23201543507.0083</v>
      </c>
      <c r="N9" cm="1">
        <f t="array" ref="N9">N8*(1+'Info'!$F$36)</f>
        <v>22648964494.75</v>
      </c>
      <c r="O9" cm="1">
        <f t="array" ref="O9">O8</f>
        <v>4138219000</v>
      </c>
      <c r="P9" cm="1">
        <f t="array" ref="P9">P8</f>
        <v>1515564000</v>
      </c>
      <c r="Q9" cm="1">
        <f t="array" ref="Q9">Q8*(100%-10%)</f>
        <v>1431131286.366</v>
      </c>
      <c r="R9" cm="1">
        <f t="array" ref="R9">R8-2035000000*5%</f>
        <v>810100000</v>
      </c>
      <c r="S9" cm="1">
        <f t="array" ref="S9">S8*(1+'Info'!$F$36)</f>
        <v>38584598580</v>
      </c>
    </row>
    <row r="10">
      <c r="A10" t="str">
        <v>2033</v>
      </c>
      <c r="B10" cm="1">
        <f t="array" ref="B10">C10-D10</f>
        <v>181048909761.88</v>
      </c>
      <c r="C10" cm="1">
        <f t="array" ref="C10">SUM(D10:S10)</f>
        <v>179365631761.88</v>
      </c>
      <c r="D10" cm="1">
        <f t="array" ref="D10">'Bank'!B9</f>
        <v>-1683278000</v>
      </c>
      <c r="E10" cm="1">
        <f t="array" ref="E10">'Financial fund'!D9</f>
        <v>1654995671.29042</v>
      </c>
      <c r="F10" cm="1">
        <f t="array" ref="F10">'Financial fund'!G9</f>
        <v>6091542819.9054</v>
      </c>
      <c r="G10" cm="1">
        <f t="array" ref="G10">'Financial fund'!M9+'Financial fund'!J9</f>
        <v>24552705921.2083</v>
      </c>
      <c r="H10" cm="1">
        <f t="array" ref="H10">'Financial fund'!P9</f>
        <v>3429060469.33518</v>
      </c>
      <c r="I10" cm="1">
        <f t="array" ref="I10">'Cashflow'!B9</f>
        <v>588280737.51683</v>
      </c>
      <c r="K10" cm="1">
        <f t="array" ref="K10">K9</f>
        <v>3926037000</v>
      </c>
      <c r="L10" cm="1">
        <f t="array" ref="L10">L9*(1+'Info'!$F$35)-'Income'!I9</f>
        <v>39813487874.8205</v>
      </c>
      <c r="M10" cm="1">
        <f t="array" ref="M10">M9*(1+'Info'!$F$35)</f>
        <v>25985728727.8493</v>
      </c>
      <c r="N10" cm="1">
        <f t="array" ref="N10">N9*(1+'Info'!$F$36)</f>
        <v>24913860944.225</v>
      </c>
      <c r="O10" cm="1">
        <f t="array" ref="O10">O9</f>
        <v>4138219000</v>
      </c>
      <c r="P10" cm="1">
        <f t="array" ref="P10">P9</f>
        <v>1515564000</v>
      </c>
      <c r="Q10" cm="1">
        <f t="array" ref="Q10">Q9*(100%-10%)</f>
        <v>1288018157.7294</v>
      </c>
      <c r="R10" cm="1">
        <f t="array" ref="R10">R9-2035000000*5%</f>
        <v>708350000</v>
      </c>
      <c r="S10" cm="1">
        <f t="array" ref="S10">S9*(1+'Info'!$F$36)</f>
        <v>42443058438</v>
      </c>
    </row>
    <row r="11">
      <c r="A11" t="str">
        <v>2034</v>
      </c>
      <c r="B11" cm="1">
        <f t="array" ref="B11">C11-D11</f>
        <v>200763314831.209</v>
      </c>
      <c r="C11" cm="1">
        <f t="array" ref="C11">SUM(D11:S11)</f>
        <v>199080036831.209</v>
      </c>
      <c r="D11" cm="1">
        <f t="array" ref="D11">'Bank'!B10</f>
        <v>-1683278000</v>
      </c>
      <c r="E11" cm="1">
        <f t="array" ref="E11">'Financial fund'!D10</f>
        <v>1762570389.9243</v>
      </c>
      <c r="F11" cm="1">
        <f t="array" ref="F11">'Financial fund'!G10</f>
        <v>6705934884.80147</v>
      </c>
      <c r="G11" cm="1">
        <f t="array" ref="G11">'Financial fund'!M10+'Financial fund'!J10</f>
        <v>28548728428.4481</v>
      </c>
      <c r="H11" cm="1">
        <f t="array" ref="H11">'Financial fund'!P10</f>
        <v>4011071824.54989</v>
      </c>
      <c r="I11" cm="1">
        <f t="array" ref="I11">'Cashflow'!B10</f>
        <v>601639046.09132</v>
      </c>
      <c r="K11" cm="1">
        <f t="array" ref="K11">K10</f>
        <v>3926037000</v>
      </c>
      <c r="L11" cm="1">
        <f t="array" ref="L11">L10*(1+'Info'!$F$35)-'Income'!I10</f>
        <v>44591106419.799</v>
      </c>
      <c r="M11" cm="1">
        <f t="array" ref="M11">M10*(1+'Info'!$F$35)</f>
        <v>29104016175.1912</v>
      </c>
      <c r="N11" cm="1">
        <f t="array" ref="N11">N10*(1+'Info'!$F$36)</f>
        <v>27405247038.6475</v>
      </c>
      <c r="O11" cm="1">
        <f t="array" ref="O11">O10</f>
        <v>4138219000</v>
      </c>
      <c r="P11" cm="1">
        <f t="array" ref="P11">P10</f>
        <v>1515564000</v>
      </c>
      <c r="Q11" cm="1">
        <f t="array" ref="Q11">Q10*(100%-10%)</f>
        <v>1159216341.95646</v>
      </c>
      <c r="R11" cm="1">
        <f t="array" ref="R11">R10-2035000000*5%</f>
        <v>606600000</v>
      </c>
      <c r="S11" cm="1">
        <f t="array" ref="S11">S10*(1+'Info'!$F$36)</f>
        <v>46687364281.8</v>
      </c>
    </row>
    <row r="12">
      <c r="A12" t="str">
        <v>2035</v>
      </c>
      <c r="B12" cm="1">
        <f t="array" ref="B12">C12-D12</f>
        <v>222852185889.176</v>
      </c>
      <c r="C12" cm="1">
        <f t="array" ref="C12">SUM(D12:S12)</f>
        <v>221168907889.176</v>
      </c>
      <c r="D12" cm="1">
        <f t="array" ref="D12">'Bank'!B11</f>
        <v>-1683278000</v>
      </c>
      <c r="E12" cm="1">
        <f t="array" ref="E12">'Financial fund'!D11</f>
        <v>1877137465.26938</v>
      </c>
      <c r="F12" cm="1">
        <f t="array" ref="F12">'Financial fund'!G11</f>
        <v>7372363709.54131</v>
      </c>
      <c r="G12" cm="1">
        <f t="array" ref="G12">'Financial fund'!M11+'Financial fund'!J11</f>
        <v>33136857472.1819</v>
      </c>
      <c r="H12" cm="1">
        <f t="array" ref="H12">'Financial fund'!P11</f>
        <v>4681921088.53287</v>
      </c>
      <c r="I12" cm="1">
        <f t="array" ref="I12">'Cashflow'!B11</f>
        <v>615531687.00878</v>
      </c>
      <c r="K12" cm="1">
        <f t="array" ref="K12">K11</f>
        <v>3926037000</v>
      </c>
      <c r="L12" cm="1">
        <f t="array" ref="L12">L11*(1+'Info'!$F$35)-'Income'!I11</f>
        <v>49942039190.1749</v>
      </c>
      <c r="M12" cm="1">
        <f t="array" ref="M12">M11*(1+'Info'!$F$35)</f>
        <v>32596498116.2141</v>
      </c>
      <c r="N12" cm="1">
        <f t="array" ref="N12">N11*(1+'Info'!$F$36)</f>
        <v>30145771742.5123</v>
      </c>
      <c r="O12" cm="1">
        <f t="array" ref="O12">O11</f>
        <v>4138219000</v>
      </c>
      <c r="P12" cm="1">
        <f t="array" ref="P12">P11</f>
        <v>1515564000</v>
      </c>
      <c r="Q12" cm="1">
        <f t="array" ref="Q12">Q11*(100%-10%)</f>
        <v>1043294707.76081</v>
      </c>
      <c r="R12" cm="1">
        <f t="array" ref="R12">R11-2035000000*5%</f>
        <v>504850000</v>
      </c>
      <c r="S12" cm="1">
        <f t="array" ref="S12">S11*(1+'Info'!$F$36)</f>
        <v>51356100709.98</v>
      </c>
    </row>
    <row r="13">
      <c r="A13" t="str">
        <v>2036</v>
      </c>
      <c r="B13" cm="1">
        <f t="array" ref="B13">C13-D13</f>
        <v>247600972488.029</v>
      </c>
      <c r="C13" cm="1">
        <f t="array" ref="C13">SUM(D13:S13)</f>
        <v>245917694488.029</v>
      </c>
      <c r="D13" cm="1">
        <f t="array" ref="D13">'Bank'!B12</f>
        <v>-1683278000</v>
      </c>
      <c r="E13" cm="1">
        <f t="array" ref="E13">'Financial fund'!D12</f>
        <v>1999151400.51189</v>
      </c>
      <c r="F13" cm="1">
        <f t="array" ref="F13">'Financial fund'!G12</f>
        <v>8095107650.69852</v>
      </c>
      <c r="G13" cm="1">
        <f t="array" ref="G13">'Financial fund'!M12+'Financial fund'!J12</f>
        <v>38404631289.5551</v>
      </c>
      <c r="H13" cm="1">
        <f t="array" ref="H13">'Financial fund'!P12</f>
        <v>5454995395.81881</v>
      </c>
      <c r="I13" cm="1">
        <f t="array" ref="I13">'Cashflow'!B12</f>
        <v>629980033.56294</v>
      </c>
      <c r="K13" cm="1">
        <f t="array" ref="K13">K12</f>
        <v>3926037000</v>
      </c>
      <c r="L13" cm="1">
        <f t="array" ref="L13">L12*(1+'Info'!$F$35)-'Income'!I12</f>
        <v>55935083892.9959</v>
      </c>
      <c r="M13" cm="1">
        <f t="array" ref="M13">M12*(1+'Info'!$F$35)</f>
        <v>36508077890.1598</v>
      </c>
      <c r="N13" cm="1">
        <f t="array" ref="N13">N12*(1+'Info'!$F$36)</f>
        <v>33160348916.7635</v>
      </c>
      <c r="O13" cm="1">
        <f t="array" ref="O13">O12</f>
        <v>4138219000</v>
      </c>
      <c r="P13" cm="1">
        <f t="array" ref="P13">P12</f>
        <v>1515564000</v>
      </c>
      <c r="Q13" cm="1">
        <f t="array" ref="Q13">Q12*(100%-10%)</f>
        <v>938965236.984729</v>
      </c>
      <c r="R13" cm="1">
        <f t="array" ref="R13">R12-2035000000*5%</f>
        <v>403100000</v>
      </c>
      <c r="S13" cm="1">
        <f t="array" ref="S13">S12*(1+'Info'!$F$36)</f>
        <v>56491710780.978</v>
      </c>
    </row>
    <row r="14">
      <c r="A14" t="str">
        <v>2037</v>
      </c>
      <c r="B14" cm="1">
        <f t="array" ref="B14">C14-D14</f>
        <v>275331011507.79</v>
      </c>
      <c r="C14" cm="1">
        <f t="array" ref="C14">SUM(D14:S14)</f>
        <v>273647733507.79</v>
      </c>
      <c r="D14" cm="1">
        <f t="array" ref="D14">'Bank'!B13</f>
        <v>-1683278000</v>
      </c>
      <c r="E14" cm="1">
        <f t="array" ref="E14">'Financial fund'!D13</f>
        <v>2129096241.54516</v>
      </c>
      <c r="F14" cm="1">
        <f t="array" ref="F14">'Financial fund'!G13</f>
        <v>8878791950.004</v>
      </c>
      <c r="G14" cm="1">
        <f t="array" ref="G14">'Financial fund'!M13+'Financial fund'!J13</f>
        <v>44452579015.2743</v>
      </c>
      <c r="H14" cm="1">
        <f t="array" ref="H14">'Financial fund'!P13</f>
        <v>6345692409.05137</v>
      </c>
      <c r="I14" cm="1">
        <f t="array" ref="I14">'Cashflow'!B13</f>
        <v>645006313.97927</v>
      </c>
      <c r="K14" cm="1">
        <f t="array" ref="K14">K13</f>
        <v>3926037000</v>
      </c>
      <c r="L14" cm="1">
        <f t="array" ref="L14">L13*(1+'Info'!$F$35)-'Income'!I13</f>
        <v>62647293960.1554</v>
      </c>
      <c r="M14" cm="1">
        <f t="array" ref="M14">M13*(1+'Info'!$F$35)</f>
        <v>40889047236.979</v>
      </c>
      <c r="N14" cm="1">
        <f t="array" ref="N14">N13*(1+'Info'!$F$36)</f>
        <v>36476383808.4399</v>
      </c>
      <c r="O14" cm="1">
        <f t="array" ref="O14">O13</f>
        <v>4138219000</v>
      </c>
      <c r="P14" cm="1">
        <f t="array" ref="P14">P13</f>
        <v>1515564000</v>
      </c>
      <c r="Q14" cm="1">
        <f t="array" ref="Q14">Q13*(100%-10%)</f>
        <v>845068713.286256</v>
      </c>
      <c r="R14" cm="1">
        <f t="array" ref="R14">R13-2035000000*5%</f>
        <v>301350000</v>
      </c>
      <c r="S14" cm="1">
        <f t="array" ref="S14">S13*(1+'Info'!$F$36)</f>
        <v>62140881859.0758</v>
      </c>
    </row>
    <row r="15">
      <c r="A15" t="str">
        <v>2038</v>
      </c>
      <c r="B15" cm="1">
        <f t="array" ref="B15">C15-D15</f>
        <v>306368566611.33</v>
      </c>
      <c r="C15" cm="1">
        <f t="array" ref="C15">SUM(D15:S15)</f>
        <v>304685288611.33</v>
      </c>
      <c r="D15" cm="1">
        <f t="array" ref="D15">'Bank'!B14</f>
        <v>-1683278000</v>
      </c>
      <c r="E15" cm="1">
        <f t="array" ref="E15">'Financial fund'!D14</f>
        <v>2267487497.2456</v>
      </c>
      <c r="F15" cm="1">
        <f t="array" ref="F15">'Financial fund'!G14</f>
        <v>9728416669.82384</v>
      </c>
      <c r="G15" cm="1">
        <f t="array" ref="G15">'Financial fund'!M14+'Financial fund'!J14</f>
        <v>51396155737.1767</v>
      </c>
      <c r="H15" cm="1">
        <f t="array" ref="H15">'Financial fund'!P14</f>
        <v>7371721996.5167</v>
      </c>
      <c r="I15" cm="1">
        <f t="array" ref="I15">'Cashflow'!B14</f>
        <v>625108493.55214</v>
      </c>
      <c r="K15" cm="1">
        <f t="array" ref="K15">K14</f>
        <v>3926037000</v>
      </c>
      <c r="L15" cm="1">
        <f t="array" ref="L15">L14*(1+'Info'!$F$35)-'Income'!I14</f>
        <v>70164969235.374</v>
      </c>
      <c r="M15" cm="1">
        <f t="array" ref="M15">M14*(1+'Info'!$F$35)</f>
        <v>45795732905.4165</v>
      </c>
      <c r="N15" cm="1">
        <f t="array" ref="N15">N14*(1+'Info'!$F$36)</f>
        <v>40124022189.2839</v>
      </c>
      <c r="O15" cm="1">
        <f t="array" ref="O15">O14</f>
        <v>4138219000</v>
      </c>
      <c r="P15" cm="1">
        <f t="array" ref="P15">P14</f>
        <v>1515564000</v>
      </c>
      <c r="Q15" cm="1">
        <f t="array" ref="Q15">Q14*(100%-10%)</f>
        <v>760561841.95763</v>
      </c>
      <c r="R15" cm="1">
        <f t="array" ref="R15">R14-2035000000*5%</f>
        <v>199600000</v>
      </c>
      <c r="S15" cm="1">
        <f t="array" ref="S15">S14*(1+'Info'!$F$36)</f>
        <v>68354970044.9834</v>
      </c>
    </row>
    <row r="16">
      <c r="A16" t="str">
        <v>2039</v>
      </c>
      <c r="B16" cm="1">
        <f t="array" ref="B16">C16-D16</f>
        <v>341151951778.704</v>
      </c>
      <c r="C16" cm="1">
        <f t="array" ref="C16">SUM(D16:S16)</f>
        <v>339468673778.704</v>
      </c>
      <c r="D16" cm="1">
        <f t="array" ref="D16">'Bank'!B15</f>
        <v>-1683278000</v>
      </c>
      <c r="E16" cm="1">
        <f t="array" ref="E16">'Financial fund'!D15</f>
        <v>2414874184.56656</v>
      </c>
      <c r="F16" cm="1">
        <f t="array" ref="F16">'Financial fund'!G15</f>
        <v>10641713438.017</v>
      </c>
      <c r="G16" cm="1">
        <f t="array" ref="G16">'Financial fund'!M15+'Financial fund'!J15</f>
        <v>59339581951.7765</v>
      </c>
      <c r="H16" cm="1">
        <f t="array" ref="H16">'Financial fund'!P15</f>
        <v>8549367772.7527</v>
      </c>
      <c r="I16" cm="1">
        <f t="array" ref="I16">'Cashflow'!B15</f>
        <v>641360918.45044</v>
      </c>
      <c r="K16" cm="1">
        <f t="array" ref="K16">K15</f>
        <v>3926037000</v>
      </c>
      <c r="L16" cm="1">
        <f t="array" ref="L16">L15*(1+'Info'!$F$35)-'Income'!I15</f>
        <v>78584765543.6189</v>
      </c>
      <c r="M16" cm="1">
        <f t="array" ref="M16">M15*(1+'Info'!$F$35)</f>
        <v>51291220854.0665</v>
      </c>
      <c r="N16" cm="1">
        <f t="array" ref="N16">N15*(1+'Info'!$F$36)</f>
        <v>44136424408.2123</v>
      </c>
      <c r="O16" cm="1">
        <f t="array" ref="O16">O15</f>
        <v>4138219000</v>
      </c>
      <c r="P16" cm="1">
        <f t="array" ref="P16">P15</f>
        <v>1515564000</v>
      </c>
      <c r="Q16" cm="1">
        <f t="array" ref="Q16">Q15*(100%-10%)</f>
        <v>684505657.761867</v>
      </c>
      <c r="R16" cm="1">
        <f t="array" ref="R16">R15-2035000000*5%</f>
        <v>97850000</v>
      </c>
      <c r="S16" cm="1">
        <f t="array" ref="S16">S15*(1+'Info'!$F$36)</f>
        <v>75190467049.4817</v>
      </c>
    </row>
    <row r="17">
      <c r="A17" t="str">
        <v>2040</v>
      </c>
      <c r="B17" cm="1">
        <f t="array" ref="B17">C17-D17</f>
        <v>380143307105.099</v>
      </c>
      <c r="C17" cm="1">
        <f t="array" ref="C17">SUM(D17:S17)</f>
        <v>378460029105.099</v>
      </c>
      <c r="D17" cm="1">
        <f t="array" ref="D17">'Bank'!B16</f>
        <v>-1683278000</v>
      </c>
      <c r="E17" cm="1">
        <f t="array" ref="E17">'Financial fund'!D16</f>
        <v>2571841006.56339</v>
      </c>
      <c r="F17" cm="1">
        <f t="array" ref="F17">'Financial fund'!G16</f>
        <v>11631584471.4437</v>
      </c>
      <c r="G17" cm="1">
        <f t="array" ref="G17">'Financial fund'!M16+'Financial fund'!J16</f>
        <v>68459528281.6031</v>
      </c>
      <c r="H17" cm="1">
        <f t="array" ref="H17">'Financial fund'!P16</f>
        <v>9905529444.2874</v>
      </c>
      <c r="I17" cm="1">
        <f t="array" ref="I17">'Cashflow'!B16</f>
        <v>658263440.34467</v>
      </c>
      <c r="K17" cm="1">
        <f t="array" ref="K17">K16</f>
        <v>3926037000</v>
      </c>
      <c r="L17" cm="1">
        <f t="array" ref="L17">L16*(1+'Info'!$F$35)-'Income'!I16</f>
        <v>88014937408.8532</v>
      </c>
      <c r="M17" cm="1">
        <f t="array" ref="M17">M16*(1+'Info'!$F$35)</f>
        <v>57446167356.5545</v>
      </c>
      <c r="N17" cm="1">
        <f t="array" ref="N17">N16*(1+'Info'!$F$36)</f>
        <v>48550066849.0335</v>
      </c>
      <c r="O17" cm="1">
        <f t="array" ref="O17">O16</f>
        <v>4138219000</v>
      </c>
      <c r="P17" cm="1">
        <f t="array" ref="P17">P16</f>
        <v>1515564000</v>
      </c>
      <c r="Q17" cm="1">
        <f t="array" ref="Q17">Q16*(100%-10%)</f>
        <v>616055091.98568</v>
      </c>
      <c r="S17" cm="1">
        <f t="array" ref="S17">S16*(1+'Info'!$F$36)</f>
        <v>82709513754.4299</v>
      </c>
    </row>
    <row r="18">
      <c r="A18" t="str">
        <v>2041</v>
      </c>
      <c r="B18" cm="1">
        <f t="array" ref="B18">C18-D18</f>
        <v>423952821332.982</v>
      </c>
      <c r="C18" cm="1">
        <f t="array" ref="C18">SUM(D18:S18)</f>
        <v>422269543332.982</v>
      </c>
      <c r="D18" cm="1">
        <f t="array" ref="D18">'Bank'!B17</f>
        <v>-1683278000</v>
      </c>
      <c r="E18" cm="1">
        <f t="array" ref="E18">'Financial fund'!D17</f>
        <v>2739010671.99001</v>
      </c>
      <c r="F18" cm="1">
        <f t="array" ref="F18">'Financial fund'!G17</f>
        <v>12704296132.2736</v>
      </c>
      <c r="G18" cm="1">
        <f t="array" ref="G18">'Financial fund'!M17+'Financial fund'!J17</f>
        <v>78930367725.18</v>
      </c>
      <c r="H18" cm="1">
        <f t="array" ref="H18">'Financial fund'!P17</f>
        <v>11467059156.5702</v>
      </c>
      <c r="I18" cm="1">
        <f t="array" ref="I18">'Cashflow'!B17</f>
        <v>675842063.11467</v>
      </c>
      <c r="K18" cm="1">
        <f t="array" ref="K18">K17</f>
        <v>3926037000</v>
      </c>
      <c r="L18" cm="1">
        <f t="array" ref="L18">L17*(1+'Info'!$F$35)-'Income'!I17</f>
        <v>98576729897.9156</v>
      </c>
      <c r="M18" cm="1">
        <f t="array" ref="M18">M17*(1+'Info'!$F$35)</f>
        <v>64339707439.341</v>
      </c>
      <c r="N18" cm="1">
        <f t="array" ref="N18">N17*(1+'Info'!$F$36)</f>
        <v>53405073533.9369</v>
      </c>
      <c r="O18" cm="1">
        <f t="array" ref="O18">O17</f>
        <v>4138219000</v>
      </c>
      <c r="P18" cm="1">
        <f t="array" ref="P18">P17</f>
        <v>1515564000</v>
      </c>
      <c r="Q18" cm="1">
        <f t="array" ref="Q18">Q17*(100%-10%)</f>
        <v>554449582.787112</v>
      </c>
      <c r="S18" cm="1">
        <f t="array" ref="S18">S17*(1+'Info'!$F$36)</f>
        <v>90980465129.8729</v>
      </c>
    </row>
    <row r="19">
      <c r="A19" t="str">
        <v>2042</v>
      </c>
      <c r="B19" cm="1">
        <f t="array" ref="B19">C19-D19</f>
        <v>473064368300.805</v>
      </c>
      <c r="C19" cm="1">
        <f t="array" ref="C19">SUM(D19:S19)</f>
        <v>471381090300.805</v>
      </c>
      <c r="D19" cm="1">
        <f t="array" ref="D19">'Bank'!B18</f>
        <v>-1683278000</v>
      </c>
      <c r="E19" cm="1">
        <f t="array" ref="E19">'Financial fund'!D18</f>
        <v>2917046365.66936</v>
      </c>
      <c r="F19" cm="1">
        <f t="array" ref="F19">'Financial fund'!G18</f>
        <v>13866621708.4882</v>
      </c>
      <c r="G19" cm="1">
        <f t="array" ref="G19">'Financial fund'!M18+'Financial fund'!J18</f>
        <v>90952409556.1119</v>
      </c>
      <c r="H19" cm="1">
        <f t="array" ref="H19">'Financial fund'!P18</f>
        <v>13264839867.314</v>
      </c>
      <c r="I19" cm="1">
        <f t="array" ref="I19">'Cashflow'!B18</f>
        <v>694123830.79547</v>
      </c>
      <c r="K19" cm="1">
        <f t="array" ref="K19">K18</f>
        <v>3926037000</v>
      </c>
      <c r="L19" cm="1">
        <f t="array" ref="L19">L18*(1+'Info'!$F$35)-'Income'!I18</f>
        <v>110405937485.665</v>
      </c>
      <c r="M19" cm="1">
        <f t="array" ref="M19">M18*(1+'Info'!$F$35)</f>
        <v>72060472332.0619</v>
      </c>
      <c r="N19" cm="1">
        <f t="array" ref="N19">N18*(1+'Info'!$F$36)</f>
        <v>58745580887.3306</v>
      </c>
      <c r="O19" cm="1">
        <f t="array" ref="O19">O18</f>
        <v>4138219000</v>
      </c>
      <c r="P19" cm="1">
        <f t="array" ref="P19">P18</f>
        <v>1515564000</v>
      </c>
      <c r="Q19" cm="1">
        <f t="array" ref="Q19">Q18*(100%-10%)</f>
        <v>499004624.508401</v>
      </c>
      <c r="S19" cm="1">
        <f t="array" ref="S19">S18*(1+'Info'!$F$36)</f>
        <v>100078511642.86</v>
      </c>
    </row>
    <row r="20">
      <c r="A20" t="str">
        <v>2043</v>
      </c>
      <c r="B20" cm="1">
        <f t="array" ref="B20">C20-D20</f>
        <v>528133637255.018</v>
      </c>
      <c r="C20" cm="1">
        <f t="array" ref="C20">SUM(D20:S20)</f>
        <v>526450359255.018</v>
      </c>
      <c r="D20" cm="1">
        <f t="array" ref="D20">'Bank'!B19</f>
        <v>-1683278000</v>
      </c>
      <c r="E20" cm="1">
        <f t="array" ref="E20">'Financial fund'!D19</f>
        <v>3106654379.43787</v>
      </c>
      <c r="F20" cm="1">
        <f t="array" ref="F20">'Financial fund'!G19</f>
        <v>15125882192.6191</v>
      </c>
      <c r="G20" cm="1">
        <f t="array" ref="G20">'Financial fund'!M19+'Financial fund'!J19</f>
        <v>104755768784.703</v>
      </c>
      <c r="H20" cm="1">
        <f t="array" ref="H20">'Financial fund'!P19</f>
        <v>15334390087.9525</v>
      </c>
      <c r="I20" cm="1">
        <f t="array" ref="I20">'Cashflow'!B19</f>
        <v>713136869.18351</v>
      </c>
      <c r="K20" cm="1">
        <f t="array" ref="K20">K19</f>
        <v>3926037000</v>
      </c>
      <c r="L20" cm="1">
        <f t="array" ref="L20">L19*(1+'Info'!$F$35)-'Income'!I19</f>
        <v>123654649983.945</v>
      </c>
      <c r="M20" cm="1">
        <f t="array" ref="M20">M19*(1+'Info'!$F$35)</f>
        <v>80707729011.9093</v>
      </c>
      <c r="N20" cm="1">
        <f t="array" ref="N20">N19*(1+'Info'!$F$36)</f>
        <v>64620138976.0637</v>
      </c>
      <c r="O20" cm="1">
        <f t="array" ref="O20">O19</f>
        <v>4138219000</v>
      </c>
      <c r="P20" cm="1">
        <f t="array" ref="P20">P19</f>
        <v>1515564000</v>
      </c>
      <c r="Q20" cm="1">
        <f t="array" ref="Q20">Q19*(100%-10%)</f>
        <v>449104162.057561</v>
      </c>
      <c r="S20" cm="1">
        <f t="array" ref="S20">S19*(1+'Info'!$F$36)</f>
        <v>110086362807.146</v>
      </c>
    </row>
    <row r="21">
      <c r="A21" t="str">
        <v>2044</v>
      </c>
      <c r="B21" cm="1">
        <f t="array" ref="B21">C21-D21</f>
        <v>589899891301.116</v>
      </c>
      <c r="C21" cm="1">
        <f t="array" ref="C21">SUM(D21:S21)</f>
        <v>588216613301.116</v>
      </c>
      <c r="D21" cm="1">
        <f t="array" ref="D21">'Bank'!B20</f>
        <v>-1683278000</v>
      </c>
      <c r="E21" cm="1">
        <f t="array" ref="E21">'Financial fund'!D20</f>
        <v>3308586914.10133</v>
      </c>
      <c r="F21" cm="1">
        <f t="array" ref="F21">'Financial fund'!G20</f>
        <v>16489990331.7723</v>
      </c>
      <c r="G21" cm="1">
        <f t="array" ref="G21">'Financial fund'!M20+'Financial fund'!J20</f>
        <v>120604814102.295</v>
      </c>
      <c r="H21" cm="1">
        <f t="array" ref="H21">'Financial fund'!P20</f>
        <v>17716559341.1015</v>
      </c>
      <c r="I21" cm="1">
        <f t="array" ref="I21">'Cashflow'!B20</f>
        <v>732910429.10706</v>
      </c>
      <c r="K21" cm="1">
        <f t="array" ref="K21">K20</f>
        <v>3926037000</v>
      </c>
      <c r="L21" cm="1">
        <f t="array" ref="L21">L20*(1+'Info'!$F$35)-'Income'!I20</f>
        <v>138493207982.018</v>
      </c>
      <c r="M21" cm="1">
        <f t="array" ref="M21">M20*(1+'Info'!$F$35)</f>
        <v>90392656493.3384</v>
      </c>
      <c r="N21" cm="1">
        <f t="array" ref="N21">N20*(1+'Info'!$F$36)</f>
        <v>71082152873.6701</v>
      </c>
      <c r="O21" cm="1">
        <f t="array" ref="O21">O20</f>
        <v>4138219000</v>
      </c>
      <c r="P21" cm="1">
        <f t="array" ref="P21">P20</f>
        <v>1515564000</v>
      </c>
      <c r="Q21" cm="1">
        <f t="array" ref="Q21">Q20*(100%-10%)</f>
        <v>404193745.851805</v>
      </c>
      <c r="S21" cm="1">
        <f t="array" ref="S21">S20*(1+'Info'!$F$36)</f>
        <v>121094999087.861</v>
      </c>
    </row>
  </sheetData>
  <pageMargins left="1" right="1" top="1" bottom="1" header="0.25" footer="0.25"/>
  <ignoredErrors>
    <ignoredError numberStoredAsText="1" sqref="A1:S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5"/>
  <sheetViews>
    <sheetView workbookViewId="0" rightToLeft="0"/>
  </sheetViews>
  <sheetData>
    <row r="1">
      <c r="A1" t="str">
        <v>INDIVIDUAL STOCK</v>
      </c>
    </row>
    <row r="2">
      <c r="A2" t="str">
        <v>tài sản</v>
      </c>
      <c r="B2" t="str">
        <v>loại</v>
      </c>
      <c r="C2" t="str">
        <v xml:space="preserve">Current </v>
      </c>
      <c r="D2" t="str">
        <v>Interest</v>
      </c>
      <c r="E2" t="str">
        <v>Cost of Capital</v>
      </c>
      <c r="F2" t="str">
        <v>Nhập</v>
      </c>
      <c r="G2">
        <v>2025</v>
      </c>
      <c r="H2" t="str">
        <v>Ql</v>
      </c>
      <c r="I2" t="str">
        <v>Current price</v>
      </c>
      <c r="J2" t="str">
        <v>TCBS</v>
      </c>
      <c r="K2" t="str">
        <v>Fmarket</v>
      </c>
      <c r="L2" t="str">
        <v>vinaMIO</v>
      </c>
      <c r="M2" t="str">
        <v>Ledger</v>
      </c>
      <c r="N2" t="str">
        <v>Binance</v>
      </c>
    </row>
    <row r="3">
      <c r="A3" t="str">
        <v>MWG</v>
      </c>
      <c r="C3" cm="1">
        <f t="array" ref="C3">H3*I3</f>
        <v>326430000</v>
      </c>
      <c r="D3" cm="1">
        <f t="array" ref="D3">C3-E3</f>
        <v>-19550000</v>
      </c>
      <c r="E3" cm="1">
        <f t="array" ref="E3">G3+F3</f>
        <v>345980000</v>
      </c>
      <c r="F3">
        <v>107300000</v>
      </c>
      <c r="G3">
        <v>238680000</v>
      </c>
      <c r="H3">
        <v>3900</v>
      </c>
      <c r="I3">
        <v>83700</v>
      </c>
    </row>
    <row r="4">
      <c r="A4" t="str">
        <v>PNJ</v>
      </c>
      <c r="C4" cm="1">
        <f t="array" ref="C4">H4*I4</f>
        <v>276000000</v>
      </c>
      <c r="D4" cm="1">
        <f t="array" ref="D4">C4-E4</f>
        <v>43200000</v>
      </c>
      <c r="E4" cm="1">
        <f t="array" ref="E4">G4+F4</f>
        <v>232800000</v>
      </c>
      <c r="F4">
        <v>0</v>
      </c>
      <c r="G4">
        <v>232800000</v>
      </c>
      <c r="H4">
        <v>2400</v>
      </c>
      <c r="I4">
        <v>115000</v>
      </c>
    </row>
    <row r="5">
      <c r="A5" t="str">
        <v>MBB</v>
      </c>
      <c r="C5" cm="1">
        <f t="array" ref="C5">H5*I5</f>
        <v>263000000</v>
      </c>
      <c r="D5" cm="1">
        <f t="array" ref="D5">C5-E5</f>
        <v>10000000</v>
      </c>
      <c r="E5" cm="1">
        <f t="array" ref="E5">G5+F5</f>
        <v>253000000</v>
      </c>
      <c r="F5">
        <v>0</v>
      </c>
      <c r="G5">
        <v>253000000</v>
      </c>
      <c r="H5">
        <v>10000</v>
      </c>
      <c r="I5">
        <v>26300</v>
      </c>
    </row>
    <row r="6">
      <c r="A6" t="str">
        <v>FPT</v>
      </c>
      <c r="C6" cm="1">
        <f t="array" ref="C6">H6*I6</f>
        <v>246018000</v>
      </c>
      <c r="D6" cm="1">
        <f t="array" ref="D6">C6-E6</f>
        <v>-43476000</v>
      </c>
      <c r="E6" cm="1">
        <f t="array" ref="E6">G6+F6</f>
        <v>289494000</v>
      </c>
      <c r="F6">
        <v>104600000</v>
      </c>
      <c r="G6">
        <v>184894000</v>
      </c>
      <c r="H6">
        <v>3130</v>
      </c>
      <c r="I6">
        <v>78600</v>
      </c>
    </row>
    <row r="7">
      <c r="A7" t="str">
        <v>ACB</v>
      </c>
      <c r="C7" cm="1">
        <f t="array" ref="C7">H7*I7</f>
        <v>242250000</v>
      </c>
      <c r="D7" cm="1">
        <f t="array" ref="D7">C7-E7</f>
        <v>-4050000</v>
      </c>
      <c r="E7" cm="1">
        <f t="array" ref="E7">G7+F7</f>
        <v>246300000</v>
      </c>
      <c r="F7">
        <v>49500000</v>
      </c>
      <c r="G7">
        <v>196800000</v>
      </c>
      <c r="H7">
        <v>10200</v>
      </c>
      <c r="I7">
        <v>23750</v>
      </c>
    </row>
    <row r="8">
      <c r="A8" t="str">
        <v>VCB</v>
      </c>
      <c r="C8" cm="1">
        <f t="array" ref="C8">H8*I8</f>
        <v>205700000</v>
      </c>
      <c r="D8" cm="1">
        <f t="array" ref="D8">C8-E8</f>
        <v>4100000</v>
      </c>
      <c r="E8" cm="1">
        <f t="array" ref="E8">SUM(F8,G8)</f>
        <v>201600000</v>
      </c>
      <c r="F8">
        <v>98100000</v>
      </c>
      <c r="G8">
        <v>103500000</v>
      </c>
      <c r="H8">
        <v>3400</v>
      </c>
      <c r="I8">
        <v>60500</v>
      </c>
    </row>
    <row r="9">
      <c r="A9" t="str">
        <v>CTG</v>
      </c>
      <c r="C9" cm="1">
        <f t="array" ref="C9">H9*I9</f>
        <v>150500000</v>
      </c>
      <c r="D9" cm="1">
        <f t="array" ref="D9">C9-E9</f>
        <v>-7025000</v>
      </c>
      <c r="E9" cm="1">
        <f t="array" ref="E9">F9+G9</f>
        <v>157525000</v>
      </c>
      <c r="F9">
        <v>103900000</v>
      </c>
      <c r="G9">
        <v>53625000</v>
      </c>
      <c r="H9">
        <v>4300</v>
      </c>
      <c r="I9">
        <v>35000</v>
      </c>
    </row>
    <row r="10">
      <c r="A10" t="str">
        <v>REE</v>
      </c>
      <c r="C10" cm="1">
        <f t="array" ref="C10">H10*I10</f>
        <v>153600000</v>
      </c>
      <c r="D10" cm="1">
        <f t="array" ref="D10">C10-E10</f>
        <v>7600000</v>
      </c>
      <c r="E10" cm="1">
        <f t="array" ref="E10">F10+G10</f>
        <v>146000000</v>
      </c>
      <c r="F10">
        <v>103300000</v>
      </c>
      <c r="G10">
        <v>42700000</v>
      </c>
      <c r="H10">
        <v>2400</v>
      </c>
      <c r="I10">
        <v>64000</v>
      </c>
    </row>
    <row r="11">
      <c r="A11" t="str">
        <v>HPG</v>
      </c>
      <c r="C11" cm="1">
        <f t="array" ref="C11">H11*I11</f>
        <v>144720000</v>
      </c>
      <c r="D11" cm="1">
        <f t="array" ref="D11">C11-E11</f>
        <v>1920000</v>
      </c>
      <c r="E11" cm="1">
        <f t="array" ref="E11">SUM(F11,G11)</f>
        <v>142800000</v>
      </c>
      <c r="F11">
        <v>50400000</v>
      </c>
      <c r="G11">
        <v>92400000</v>
      </c>
      <c r="H11" cm="1">
        <f t="array" ref="H11">3500+1900</f>
        <v>5400</v>
      </c>
      <c r="I11">
        <v>26800</v>
      </c>
    </row>
    <row r="12">
      <c r="A12" t="str">
        <v>DGC</v>
      </c>
      <c r="C12" cm="1">
        <f t="array" ref="C12">H12*I12</f>
        <v>96000000</v>
      </c>
      <c r="D12" cm="1">
        <f t="array" ref="D12">C12-E12</f>
        <v>-6750000</v>
      </c>
      <c r="E12" cm="1">
        <f t="array" ref="E12">SUM(F12,G12)</f>
        <v>102750000</v>
      </c>
      <c r="F12">
        <v>0</v>
      </c>
      <c r="G12">
        <v>102750000</v>
      </c>
      <c r="H12">
        <v>1500</v>
      </c>
      <c r="I12">
        <v>64000</v>
      </c>
    </row>
    <row r="13">
      <c r="A13" t="str">
        <v>CTR</v>
      </c>
      <c r="C13" cm="1">
        <f t="array" ref="C13">H13*I13</f>
        <v>99000000</v>
      </c>
      <c r="D13" cm="1">
        <f t="array" ref="D13">C13-E13</f>
        <v>-3360000</v>
      </c>
      <c r="E13" cm="1">
        <f t="array" ref="E13">F13+G13</f>
        <v>102360000</v>
      </c>
      <c r="F13">
        <v>0</v>
      </c>
      <c r="G13">
        <v>102360000</v>
      </c>
      <c r="H13">
        <v>1200</v>
      </c>
      <c r="I13">
        <v>82500</v>
      </c>
    </row>
    <row r="14">
      <c r="A14" t="str">
        <v>TCB</v>
      </c>
      <c r="C14" cm="1">
        <f t="array" ref="C14">H14*I14</f>
        <v>90900000</v>
      </c>
      <c r="D14" cm="1">
        <f t="array" ref="D14">C14-E14</f>
        <v>-14500000</v>
      </c>
      <c r="E14" cm="1">
        <f t="array" ref="E14">F14+G14</f>
        <v>105400000</v>
      </c>
      <c r="F14">
        <v>105400000</v>
      </c>
      <c r="G14">
        <v>0</v>
      </c>
      <c r="H14">
        <v>3000</v>
      </c>
      <c r="I14">
        <v>30300</v>
      </c>
    </row>
    <row r="15">
      <c r="A15" t="str">
        <v>BMP</v>
      </c>
      <c r="C15" cm="1">
        <f t="array" ref="C15">H15*I15</f>
        <v>82020000</v>
      </c>
      <c r="D15" cm="1">
        <f t="array" ref="D15">C15-E15</f>
        <v>-17180000</v>
      </c>
      <c r="E15" cm="1">
        <f t="array" ref="E15">F15+G15</f>
        <v>99200000</v>
      </c>
      <c r="F15">
        <v>29200000</v>
      </c>
      <c r="G15">
        <v>70000000</v>
      </c>
      <c r="H15">
        <v>600</v>
      </c>
      <c r="I15">
        <v>136700</v>
      </c>
    </row>
    <row r="16">
      <c r="A16" t="str">
        <v>SSI</v>
      </c>
      <c r="C16" cm="1">
        <f t="array" ref="C16">H16*I16</f>
        <v>47600000</v>
      </c>
      <c r="D16" cm="1">
        <f t="array" ref="D16">C16-E16</f>
        <v>-4900000</v>
      </c>
      <c r="E16" cm="1">
        <f t="array" ref="E16">F16+G16</f>
        <v>52500000</v>
      </c>
      <c r="F16">
        <v>52500000</v>
      </c>
      <c r="G16">
        <v>0</v>
      </c>
      <c r="H16">
        <v>1700</v>
      </c>
      <c r="I16">
        <v>28000</v>
      </c>
    </row>
    <row r="17">
      <c r="A17" t="str">
        <v>VCBFIF</v>
      </c>
      <c r="B17" t="str">
        <v>Bond</v>
      </c>
      <c r="C17" cm="1">
        <f t="array" ref="C17">SUM(J17:L17)</f>
        <v>312000000</v>
      </c>
      <c r="D17" cm="1">
        <f t="array" ref="D17">C17-E17</f>
        <v>-44570000</v>
      </c>
      <c r="E17" cm="1">
        <f t="array" ref="E17">G17+F17</f>
        <v>356570000</v>
      </c>
      <c r="F17">
        <v>0</v>
      </c>
      <c r="G17">
        <v>356570000</v>
      </c>
      <c r="J17">
        <v>312000000</v>
      </c>
    </row>
    <row r="18">
      <c r="A18" t="str">
        <v>VESAF</v>
      </c>
      <c r="B18" t="str">
        <v>Stock</v>
      </c>
      <c r="C18" cm="1">
        <f t="array" ref="C18">SUM(J18:L18)</f>
        <v>155579000</v>
      </c>
      <c r="D18" cm="1">
        <f t="array" ref="D18">C18-E18</f>
        <v>11001000</v>
      </c>
      <c r="E18" cm="1">
        <f t="array" ref="E18">G18+F18</f>
        <v>144578000</v>
      </c>
      <c r="F18">
        <v>30000000</v>
      </c>
      <c r="G18">
        <v>114578000</v>
      </c>
      <c r="J18">
        <v>107000000</v>
      </c>
      <c r="L18">
        <v>48579000</v>
      </c>
    </row>
    <row r="19">
      <c r="A19" t="str">
        <v>SSISCA</v>
      </c>
      <c r="B19" t="str">
        <v>Stock</v>
      </c>
      <c r="C19" cm="1">
        <f t="array" ref="C19">SUM(J19:L19)</f>
        <v>153000000</v>
      </c>
      <c r="D19" cm="1">
        <f t="array" ref="D19">C19-E19</f>
        <v>8442000</v>
      </c>
      <c r="E19" cm="1">
        <f t="array" ref="E19">G19+F19</f>
        <v>144558000</v>
      </c>
      <c r="F19">
        <v>30000000</v>
      </c>
      <c r="G19">
        <v>114558000</v>
      </c>
      <c r="J19">
        <v>153000000</v>
      </c>
    </row>
    <row r="20">
      <c r="A20" t="str">
        <v>VCBMGF</v>
      </c>
      <c r="B20" t="str">
        <v>Stock</v>
      </c>
      <c r="C20" cm="1">
        <f t="array" ref="C20">SUM(J20:L20)</f>
        <v>195486000</v>
      </c>
      <c r="D20" cm="1">
        <f t="array" ref="D20">C20-E20</f>
        <v>57673000</v>
      </c>
      <c r="E20" cm="1">
        <f t="array" ref="E20">G20+F20</f>
        <v>137813000</v>
      </c>
      <c r="F20">
        <v>30000000</v>
      </c>
      <c r="G20">
        <v>107813000</v>
      </c>
      <c r="J20">
        <v>118000000</v>
      </c>
      <c r="K20">
        <v>77486000</v>
      </c>
    </row>
    <row r="21">
      <c r="A21" t="str">
        <v>VMEEF</v>
      </c>
      <c r="B21" t="str">
        <v>Stock</v>
      </c>
      <c r="C21" cm="1">
        <f t="array" ref="C21">SUM(J21:L21)</f>
        <v>117258000</v>
      </c>
      <c r="D21" cm="1">
        <f t="array" ref="D21">C21-E21</f>
        <v>6897000</v>
      </c>
      <c r="E21" cm="1">
        <f t="array" ref="E21">G21+F21</f>
        <v>110361000</v>
      </c>
      <c r="F21">
        <v>30000000</v>
      </c>
      <c r="G21">
        <v>80361000</v>
      </c>
      <c r="J21">
        <v>30000000</v>
      </c>
      <c r="K21">
        <v>37446000</v>
      </c>
      <c r="L21">
        <v>49812000</v>
      </c>
    </row>
    <row r="22">
      <c r="A22" t="str">
        <v>TCBF</v>
      </c>
      <c r="B22" t="str">
        <v>Bond</v>
      </c>
      <c r="C22" cm="1">
        <f t="array" ref="C22">SUM(J22:L22)</f>
        <v>69000000</v>
      </c>
      <c r="D22" cm="1">
        <f t="array" ref="D22">C22-E22</f>
        <v>844000</v>
      </c>
      <c r="E22" cm="1">
        <f t="array" ref="E22">G22+F22</f>
        <v>68156000</v>
      </c>
      <c r="F22">
        <v>0</v>
      </c>
      <c r="G22">
        <v>68156000</v>
      </c>
      <c r="J22">
        <v>69000000</v>
      </c>
    </row>
    <row r="23">
      <c r="A23" t="str">
        <v>DCDS</v>
      </c>
      <c r="B23" t="str">
        <v>Stock</v>
      </c>
      <c r="C23" cm="1">
        <f t="array" ref="C23">SUM(J23:L23)</f>
        <v>41000000</v>
      </c>
      <c r="D23" cm="1">
        <f t="array" ref="D23">C23-E23</f>
        <v>1050000</v>
      </c>
      <c r="E23" cm="1">
        <f t="array" ref="E23">G23+F23</f>
        <v>39950000</v>
      </c>
      <c r="F23">
        <v>30000000</v>
      </c>
      <c r="G23">
        <v>9950000</v>
      </c>
      <c r="J23">
        <v>41000000</v>
      </c>
    </row>
    <row r="24">
      <c r="A24" t="str">
        <v>VEOF</v>
      </c>
      <c r="B24" t="str">
        <v>Stock</v>
      </c>
      <c r="C24" cm="1">
        <f t="array" ref="C24">SUM(J24:L24)</f>
        <v>15000000</v>
      </c>
      <c r="D24" cm="1">
        <f t="array" ref="D24">C24-E24</f>
        <v>1147000</v>
      </c>
      <c r="E24" cm="1">
        <f t="array" ref="E24">G24+F24</f>
        <v>13853000</v>
      </c>
      <c r="F24">
        <v>0</v>
      </c>
      <c r="G24">
        <v>13853000</v>
      </c>
      <c r="J24">
        <v>15000000</v>
      </c>
    </row>
    <row r="25">
      <c r="A25" t="str">
        <v>BTC</v>
      </c>
      <c r="C25" cm="1">
        <f t="array" ref="C25">H25*I25</f>
        <v>177219488.173</v>
      </c>
      <c r="D25" cm="1">
        <f t="array" ref="D25">C25-E25</f>
        <v>-8295424.827</v>
      </c>
      <c r="E25" cm="1">
        <f t="array" ref="E25">G25+F25</f>
        <v>185514913</v>
      </c>
      <c r="F25">
        <v>30601513</v>
      </c>
      <c r="G25">
        <v>154913400</v>
      </c>
      <c r="H25" cm="1">
        <f t="array" ref="H25">SUMIF('Info'!$A$2:$A$32,$A25,'Info'!$C$2:$C$32)</f>
        <v>0.091</v>
      </c>
      <c r="I25" cm="1">
        <f t="array" ref="I25">SUMIF('Info'!$A$2:$A$32,$A25,'Info'!$D$2:$D$32)</f>
        <v>1947466903</v>
      </c>
      <c r="M25">
        <v>6625.57</v>
      </c>
    </row>
    <row r="26">
      <c r="A26" t="str">
        <v>PAXG</v>
      </c>
      <c r="C26" cm="1">
        <f t="array" ref="C26">H26*I26</f>
        <v>117167871.744</v>
      </c>
      <c r="D26" cm="1">
        <f t="array" ref="D26">C26-E26</f>
        <v>8071671.744</v>
      </c>
      <c r="E26" cm="1">
        <f t="array" ref="E26">G26+F26</f>
        <v>109096200</v>
      </c>
      <c r="F26">
        <v>0</v>
      </c>
      <c r="G26">
        <v>109096200</v>
      </c>
      <c r="H26" cm="1">
        <f t="array" ref="H26">SUMIF('Info'!$A$2:$A$32,$A26,'Info'!$C$2:$C$32)</f>
        <v>0.896</v>
      </c>
      <c r="I26" cm="1">
        <f t="array" ref="I26">SUMIF('Info'!$A$2:$A$32,$A26,'Info'!$D$2:$D$32)</f>
        <v>130767714</v>
      </c>
      <c r="M26">
        <v>4459</v>
      </c>
      <c r="N26">
        <v>244</v>
      </c>
    </row>
    <row r="27">
      <c r="A27" t="str">
        <v>ETH</v>
      </c>
      <c r="C27" cm="1">
        <f t="array" ref="C27">H27*I27</f>
        <v>51710623.974</v>
      </c>
      <c r="D27" cm="1">
        <f t="array" ref="D27">C27-E27</f>
        <v>-13143676.026</v>
      </c>
      <c r="E27" cm="1">
        <f t="array" ref="E27">G27+F27</f>
        <v>64854300</v>
      </c>
      <c r="F27">
        <v>0</v>
      </c>
      <c r="G27">
        <v>64854300</v>
      </c>
      <c r="H27" cm="1">
        <f t="array" ref="H27">SUMIF('Info'!$A$2:$A$32,$A27,'Info'!$C$2:$C$32)</f>
        <v>0.846</v>
      </c>
      <c r="I27" cm="1">
        <f t="array" ref="I27">SUMIF('Info'!$A$2:$A$32,$A27,'Info'!$D$2:$D$32)</f>
        <v>61123669</v>
      </c>
      <c r="M27" cm="1">
        <f t="array" ref="M27">1070+524</f>
        <v>1594</v>
      </c>
      <c r="N27">
        <v>49</v>
      </c>
    </row>
    <row r="28">
      <c r="A28" t="str">
        <v>SOL</v>
      </c>
      <c r="C28" cm="1">
        <f t="array" ref="C28">H28*I28</f>
        <v>10659160.044</v>
      </c>
      <c r="D28" cm="1">
        <f t="array" ref="D28">C28-E28</f>
        <v>-3705439.956</v>
      </c>
      <c r="E28" cm="1">
        <f t="array" ref="E28">G28+F28</f>
        <v>14364600</v>
      </c>
      <c r="F28">
        <v>0</v>
      </c>
      <c r="G28">
        <v>14364600</v>
      </c>
      <c r="H28" cm="1">
        <f t="array" ref="H28">SUMIF('Info'!$A$2:$A$32,$A28,'Info'!$C$2:$C$32)</f>
        <v>4.302</v>
      </c>
      <c r="I28" cm="1">
        <f t="array" ref="I28">SUMIF('Info'!$A$2:$A$32,$A28,'Info'!$D$2:$D$32)</f>
        <v>2477722</v>
      </c>
      <c r="N28">
        <v>337</v>
      </c>
    </row>
    <row r="29">
      <c r="A29" t="str">
        <v>XRP</v>
      </c>
      <c r="C29" cm="1">
        <f t="array" ref="C29">H29*I29</f>
        <v>9664368.794</v>
      </c>
      <c r="D29" cm="1">
        <f t="array" ref="D29">C29-E29</f>
        <v>-2430731.206</v>
      </c>
      <c r="E29" cm="1">
        <f t="array" ref="E29">G29+F29</f>
        <v>12095100</v>
      </c>
      <c r="F29">
        <v>0</v>
      </c>
      <c r="G29">
        <v>12095100</v>
      </c>
      <c r="H29" cm="1">
        <f t="array" ref="H29">SUMIF('Info'!$A$2:$A$32,$A29,'Info'!$C$2:$C$32)</f>
        <v>242.318</v>
      </c>
      <c r="I29" cm="1">
        <f t="array" ref="I29">SUMIF('Info'!$A$2:$A$32,$A29,'Info'!$D$2:$D$32)</f>
        <v>39883</v>
      </c>
      <c r="N29">
        <v>329</v>
      </c>
    </row>
    <row r="30">
      <c r="A30" t="str">
        <v>BNB</v>
      </c>
      <c r="C30" cm="1">
        <f t="array" ref="C30">H30*I30</f>
        <v>8223929.04</v>
      </c>
      <c r="D30" cm="1">
        <f t="array" ref="D30">C30-E30</f>
        <v>-2482770.96</v>
      </c>
      <c r="E30" cm="1">
        <f t="array" ref="E30">G30+F30</f>
        <v>10706700</v>
      </c>
      <c r="F30">
        <v>0</v>
      </c>
      <c r="G30">
        <v>10706700</v>
      </c>
      <c r="H30" cm="1">
        <f t="array" ref="H30">SUMIF('Info'!$A$2:$A$32,$A30,'Info'!$C$2:$C$32)</f>
        <v>0.464</v>
      </c>
      <c r="I30" cm="1">
        <f t="array" ref="I30">SUMIF('Info'!$A$2:$A$32,$A30,'Info'!$D$2:$D$32)</f>
        <v>17723985</v>
      </c>
      <c r="N30">
        <v>280</v>
      </c>
    </row>
    <row r="31">
      <c r="A31" t="str">
        <v>AVAX</v>
      </c>
      <c r="C31" cm="1">
        <f t="array" ref="C31">H31*I31</f>
        <v>7826400.986</v>
      </c>
      <c r="D31" cm="1">
        <f t="array" ref="D31">C31-E31</f>
        <v>-1892399.014</v>
      </c>
      <c r="E31" cm="1">
        <f t="array" ref="E31">G31+F31</f>
        <v>9718800</v>
      </c>
      <c r="F31">
        <v>0</v>
      </c>
      <c r="G31">
        <v>9718800</v>
      </c>
      <c r="H31" cm="1">
        <f t="array" ref="H31">SUMIF('Info'!$A$2:$A$32,$A31,'Info'!$C$2:$C$32)</f>
        <v>29.074</v>
      </c>
      <c r="I31" cm="1">
        <f t="array" ref="I31">SUMIF('Info'!$A$2:$A$32,$A31,'Info'!$D$2:$D$32)</f>
        <v>269189</v>
      </c>
      <c r="N31">
        <v>256</v>
      </c>
    </row>
    <row r="32">
      <c r="A32" t="str">
        <v>ADA</v>
      </c>
      <c r="C32" cm="1">
        <f t="array" ref="C32">H32*I32</f>
        <v>4971301.87172</v>
      </c>
      <c r="D32" cm="1">
        <f t="array" ref="D32">C32-E32</f>
        <v>-1116298.12828</v>
      </c>
      <c r="E32" cm="1">
        <f t="array" ref="E32">G32+F32</f>
        <v>6087600</v>
      </c>
      <c r="F32">
        <v>0</v>
      </c>
      <c r="G32">
        <v>6087600</v>
      </c>
      <c r="H32" cm="1">
        <f t="array" ref="H32">SUMIF('Info'!$A$2:$A$32,$A32,'Info'!$C$2:$C$32)</f>
        <v>651.452</v>
      </c>
      <c r="I32" cm="1">
        <f t="array" ref="I32">SUMIF('Info'!$A$2:$A$32,$A32,'Info'!$D$2:$D$32)</f>
        <v>7631.11</v>
      </c>
      <c r="N32">
        <v>170</v>
      </c>
    </row>
    <row r="33">
      <c r="A33" t="str">
        <v>LINK</v>
      </c>
      <c r="C33" cm="1">
        <f t="array" ref="C33">H33*I33</f>
        <v>4312200.301</v>
      </c>
      <c r="D33" cm="1">
        <f t="array" ref="D33">C33-E33</f>
        <v>-1214699.699</v>
      </c>
      <c r="E33" cm="1">
        <f t="array" ref="E33">G33+F33</f>
        <v>5526900</v>
      </c>
      <c r="F33">
        <v>0</v>
      </c>
      <c r="G33">
        <v>5526900</v>
      </c>
      <c r="H33" cm="1">
        <f t="array" ref="H33">SUMIF('Info'!$A$2:$A$32,$A33,'Info'!$C$2:$C$32)</f>
        <v>16.717</v>
      </c>
      <c r="I33" cm="1">
        <f t="array" ref="I33">SUMIF('Info'!$A$2:$A$32,$A33,'Info'!$D$2:$D$32)</f>
        <v>257953</v>
      </c>
      <c r="N33">
        <v>140</v>
      </c>
    </row>
    <row r="34">
      <c r="A34" t="str">
        <v>DOT</v>
      </c>
      <c r="C34" cm="1">
        <f t="array" ref="C34">H34*I34</f>
        <v>2766534</v>
      </c>
      <c r="D34" cm="1">
        <f t="array" ref="D34">C34-E34</f>
        <v>-303966</v>
      </c>
      <c r="E34" cm="1">
        <f t="array" ref="E34">G34+F34</f>
        <v>3070500</v>
      </c>
      <c r="F34">
        <v>0</v>
      </c>
      <c r="G34">
        <v>3070500</v>
      </c>
      <c r="H34" cm="1">
        <f t="array" ref="H34">SUMIF('Info'!$A$2:$A$32,$A34,'Info'!$C$2:$C$32)</f>
        <v>64.338</v>
      </c>
      <c r="I34" cm="1">
        <f t="array" ref="I34">SUMIF('Info'!$A$2:$A$32,$A34,'Info'!$D$2:$D$32)</f>
        <v>43000</v>
      </c>
      <c r="N34">
        <v>81</v>
      </c>
    </row>
    <row r="35">
      <c r="A35" t="str">
        <v>USDC</v>
      </c>
      <c r="C35" cm="1">
        <f t="array" ref="C35">H35*I35</f>
        <v>0</v>
      </c>
      <c r="D35" cm="1">
        <f t="array" ref="D35">C35-E35</f>
        <v>-560700</v>
      </c>
      <c r="E35" cm="1">
        <f t="array" ref="E35">G35+F35</f>
        <v>560700</v>
      </c>
      <c r="F35">
        <v>0</v>
      </c>
      <c r="G35">
        <v>560700</v>
      </c>
      <c r="H35" cm="1">
        <f t="array" ref="H35">SUMIF('Info'!$A$2:$A$32,$A35,'Info'!$C$2:$C$32)</f>
        <v>0</v>
      </c>
      <c r="I35" cm="1">
        <f t="array" ref="I35">SUMIF('Info'!$A$2:$A$32,$A35,'Info'!$D$2:$D$32)</f>
        <v>0</v>
      </c>
      <c r="M35">
        <v>13</v>
      </c>
      <c r="N35">
        <v>0</v>
      </c>
    </row>
  </sheetData>
  <mergeCells count="1">
    <mergeCell ref="A1:N1"/>
  </mergeCells>
  <pageMargins left="1" right="1" top="1" bottom="1" header="0.25" footer="0.25"/>
  <ignoredErrors>
    <ignoredError numberStoredAsText="1" sqref="A1:N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0"/>
  <sheetViews>
    <sheetView workbookViewId="0" rightToLeft="0"/>
  </sheetViews>
  <sheetData>
    <row r="1">
      <c r="A1" t="str">
        <v>Year</v>
      </c>
      <c r="B1" t="str">
        <v>Chưa phân bổ</v>
      </c>
      <c r="C1" t="str">
        <v>Vốn lưu động</v>
      </c>
      <c r="D1" t="str">
        <v>Cash</v>
      </c>
      <c r="E1" t="str">
        <v>Income</v>
      </c>
      <c r="F1" t="str">
        <v>Other income</v>
      </c>
      <c r="G1" t="str">
        <v>Tiêu dùng</v>
      </c>
      <c r="H1" t="str">
        <v>Interest</v>
      </c>
      <c r="I1" t="str">
        <v>Other expense</v>
      </c>
      <c r="J1" t="str">
        <v>Tổng đầu tư</v>
      </c>
      <c r="K1" t="str">
        <v>Gold</v>
      </c>
      <c r="L1" t="str">
        <v>Crypto</v>
      </c>
      <c r="M1" t="str">
        <v>Bond</v>
      </c>
      <c r="N1" t="str">
        <v>Stock</v>
      </c>
    </row>
    <row r="2">
      <c r="A2" t="str">
        <v>2026</v>
      </c>
      <c r="B2" cm="1">
        <f t="array" ref="B2">6150845000+H2+I2-J2-D2+F2+G2+E2</f>
        <v>527394568.73607</v>
      </c>
      <c r="C2">
        <v>1000000000</v>
      </c>
      <c r="D2">
        <v>-220000000</v>
      </c>
      <c r="E2" cm="1">
        <f t="array" ref="E2">'Income'!B2</f>
        <v>2024648562.45358</v>
      </c>
      <c r="F2" cm="1">
        <f t="array" ref="F2">'Income'!C2</f>
        <v>0</v>
      </c>
      <c r="G2" cm="1">
        <f t="array" ref="G2">-E2*70%</f>
        <v>-1417253993.71751</v>
      </c>
      <c r="H2" cm="1">
        <f t="array" ref="H2">'Bank'!C2</f>
        <v>-80000000</v>
      </c>
      <c r="I2" cm="1">
        <f t="array" ref="I2">'Income'!K2</f>
        <v>0</v>
      </c>
      <c r="J2" cm="1">
        <f t="array" ref="J2">6150845000-D2</f>
        <v>6370845000</v>
      </c>
      <c r="K2" cm="1">
        <f t="array" ref="K2">IF(J2&lt;0,0,J2*'Info'!$G$47)</f>
        <v>1274169000</v>
      </c>
      <c r="L2" cm="1">
        <f t="array" ref="L2">IF(J2&lt;0,0,J2*'Info'!$G$48)</f>
        <v>637084500</v>
      </c>
      <c r="M2" cm="1">
        <f t="array" ref="M2">'Info'!$G$49*J2</f>
        <v>637084500</v>
      </c>
      <c r="N2" cm="1">
        <f t="array" ref="N2">IF(J2&lt;0,0,J2-K2-L2-M2)</f>
        <v>3822507000</v>
      </c>
    </row>
    <row r="3">
      <c r="A3" t="str">
        <v>2027</v>
      </c>
      <c r="B3" cm="1">
        <f t="array" ref="B3">B2+H3+I3-J3-D3+F3+G3+E3</f>
        <v>397351463.28305</v>
      </c>
      <c r="C3">
        <v>1000000000</v>
      </c>
      <c r="D3" cm="1">
        <f t="array" ref="D3">-C2+C3</f>
        <v>0</v>
      </c>
      <c r="E3" cm="1">
        <f t="array" ref="E3">'Income'!B3</f>
        <v>2058698044.27683</v>
      </c>
      <c r="F3" cm="1">
        <f t="array" ref="F3">'Income'!C3</f>
        <v>0</v>
      </c>
      <c r="G3" cm="1">
        <f t="array" ref="G3">-E3*70%</f>
        <v>-1441088630.99378</v>
      </c>
      <c r="H3" cm="1">
        <f t="array" ref="H3">'Bank'!C3</f>
        <v>-220257950</v>
      </c>
      <c r="I3" cm="1">
        <f t="array" ref="I3">'Income'!K3</f>
        <v>0</v>
      </c>
      <c r="J3" cm="1">
        <f t="array" ref="J3">B2-D3</f>
        <v>527394568.73607</v>
      </c>
      <c r="K3" cm="1">
        <f t="array" ref="K3">IF(J3&lt;0,0,J3*'Info'!$G$47)</f>
        <v>105478913.747214</v>
      </c>
      <c r="L3" cm="1">
        <f t="array" ref="L3">IF(J3&lt;0,0,J3*'Info'!$G$48)</f>
        <v>52739456.873607</v>
      </c>
      <c r="M3" cm="1">
        <f t="array" ref="M3">'Info'!$G$49*J3</f>
        <v>52739456.873607</v>
      </c>
      <c r="N3" cm="1">
        <f t="array" ref="N3">J3-K3-L3-M3</f>
        <v>316436741.241642</v>
      </c>
    </row>
    <row r="4">
      <c r="A4" t="str">
        <v>2028</v>
      </c>
      <c r="B4" cm="1">
        <f t="array" ref="B4">B3+H4+I4-J4-D4+F4+G4+E4</f>
        <v>441908356.49563</v>
      </c>
      <c r="C4">
        <v>1000000000</v>
      </c>
      <c r="D4" cm="1">
        <f t="array" ref="D4">-C3+C4</f>
        <v>0</v>
      </c>
      <c r="E4" cm="1">
        <f t="array" ref="E4">'Income'!B4</f>
        <v>2207221021.65209</v>
      </c>
      <c r="F4" cm="1">
        <f t="array" ref="F4">'Income'!C4</f>
        <v>0</v>
      </c>
      <c r="G4" cm="1">
        <f t="array" ref="G4">-E4*70%</f>
        <v>-1545054715.15646</v>
      </c>
      <c r="H4" cm="1">
        <f t="array" ref="H4">'Bank'!C4</f>
        <v>-220257950</v>
      </c>
      <c r="I4" cm="1">
        <f t="array" ref="I4">'Income'!K4</f>
        <v>0</v>
      </c>
      <c r="J4" cm="1">
        <f t="array" ref="J4">B3-D4</f>
        <v>397351463.28305</v>
      </c>
      <c r="K4" cm="1">
        <f t="array" ref="K4">IF(J4&lt;0,0,J4*'Info'!$G$47)</f>
        <v>79470292.65661</v>
      </c>
      <c r="L4" cm="1">
        <f t="array" ref="L4">IF(J4&lt;0,0,J4*'Info'!$G$48)</f>
        <v>39735146.328305</v>
      </c>
      <c r="M4" cm="1">
        <f t="array" ref="M4">'Info'!$G$49*J4</f>
        <v>39735146.328305</v>
      </c>
      <c r="N4" cm="1">
        <f t="array" ref="N4">J4-K4-L4-M4</f>
        <v>238410877.96983</v>
      </c>
    </row>
    <row r="5">
      <c r="A5" t="str">
        <v>2029</v>
      </c>
      <c r="B5" cm="1">
        <f t="array" ref="B5">B4+H5+I5-J5-D5+F5+G5+E5</f>
        <v>478579965.39026</v>
      </c>
      <c r="C5">
        <v>1000000000</v>
      </c>
      <c r="D5" cm="1">
        <f t="array" ref="D5">-C4+C5</f>
        <v>0</v>
      </c>
      <c r="E5" cm="1">
        <f t="array" ref="E5">'Income'!B5</f>
        <v>2329459717.96753</v>
      </c>
      <c r="F5" cm="1">
        <f t="array" ref="F5">'Income'!C5</f>
        <v>0</v>
      </c>
      <c r="G5" cm="1">
        <f t="array" ref="G5">-E5*70%</f>
        <v>-1630621802.57727</v>
      </c>
      <c r="H5" cm="1">
        <f t="array" ref="H5">'Bank'!C5</f>
        <v>-220257950</v>
      </c>
      <c r="I5" cm="1">
        <f t="array" ref="I5">'Income'!K5</f>
        <v>0</v>
      </c>
      <c r="J5" cm="1">
        <f t="array" ref="J5">B4-D5</f>
        <v>441908356.49563</v>
      </c>
      <c r="K5" cm="1">
        <f t="array" ref="K5">IF(J5&lt;0,0,J5*'Info'!$G$47)</f>
        <v>88381671.299126</v>
      </c>
      <c r="L5" cm="1">
        <f t="array" ref="L5">IF(J5&lt;0,0,J5*'Info'!$G$48)</f>
        <v>44190835.649563</v>
      </c>
      <c r="M5" cm="1">
        <f t="array" ref="M5">'Info'!$G$49*J5</f>
        <v>44190835.649563</v>
      </c>
      <c r="N5" cm="1">
        <f t="array" ref="N5">J5-K5-L5-M5</f>
        <v>265145013.897378</v>
      </c>
    </row>
    <row r="6">
      <c r="A6" t="str">
        <v>2030</v>
      </c>
      <c r="B6" cm="1">
        <f t="array" ref="B6">B5+H6+I6-J6-D6+F6+G6+E6</f>
        <v>551210215.1727</v>
      </c>
      <c r="C6">
        <v>1000000000</v>
      </c>
      <c r="D6" cm="1">
        <f t="array" ref="D6">-C5+C6</f>
        <v>0</v>
      </c>
      <c r="E6" cm="1">
        <f t="array" ref="E6">'Income'!B6</f>
        <v>2571560550.57568</v>
      </c>
      <c r="F6" cm="1">
        <f t="array" ref="F6">'Income'!C6</f>
        <v>0</v>
      </c>
      <c r="G6" cm="1">
        <f t="array" ref="G6">-E6*70%</f>
        <v>-1800092385.40298</v>
      </c>
      <c r="H6" cm="1">
        <f t="array" ref="H6">'Bank'!C6</f>
        <v>-220257950</v>
      </c>
      <c r="I6" cm="1">
        <f t="array" ref="I6">'Income'!K6</f>
        <v>0</v>
      </c>
      <c r="J6" cm="1">
        <f t="array" ref="J6">B5-D6</f>
        <v>478579965.39026</v>
      </c>
      <c r="K6" cm="1">
        <f t="array" ref="K6">IF(J6&lt;0,0,J6*'Info'!$G$47)</f>
        <v>95715993.078052</v>
      </c>
      <c r="L6" cm="1">
        <f t="array" ref="L6">IF(J6&lt;0,0,J6*'Info'!$G$48)</f>
        <v>47857996.539026</v>
      </c>
      <c r="M6" cm="1">
        <f t="array" ref="M6">'Info'!$G$49*J6</f>
        <v>47857996.539026</v>
      </c>
      <c r="N6" cm="1">
        <f t="array" ref="N6">J6-K6-L6-M6</f>
        <v>287147979.234156</v>
      </c>
    </row>
    <row r="7">
      <c r="A7" t="str">
        <v>2031</v>
      </c>
      <c r="B7" cm="1">
        <f t="array" ref="B7">B6+H7+I7-J7-D7+F7+G7+E7</f>
        <v>563085702.85342</v>
      </c>
      <c r="C7">
        <v>1000000000</v>
      </c>
      <c r="D7" cm="1">
        <f t="array" ref="D7">-C6+C7</f>
        <v>0</v>
      </c>
      <c r="E7" cm="1">
        <f t="array" ref="E7">'Income'!B7</f>
        <v>2611145509.51141</v>
      </c>
      <c r="F7" cm="1">
        <f t="array" ref="F7">'Income'!C7</f>
        <v>0</v>
      </c>
      <c r="G7" cm="1">
        <f t="array" ref="G7">-E7*70%</f>
        <v>-1827801856.65799</v>
      </c>
      <c r="H7" cm="1">
        <f t="array" ref="H7">'Bank'!C7</f>
        <v>-220257950</v>
      </c>
      <c r="I7" cm="1">
        <f t="array" ref="I7">'Income'!K7</f>
        <v>0</v>
      </c>
      <c r="J7" cm="1">
        <f t="array" ref="J7">B6-D7</f>
        <v>551210215.1727</v>
      </c>
      <c r="K7" cm="1">
        <f t="array" ref="K7">IF(J7&lt;0,0,J7*'Info'!$G$47)</f>
        <v>110242043.03454</v>
      </c>
      <c r="L7" cm="1">
        <f t="array" ref="L7">IF(J7&lt;0,0,J7*'Info'!$G$48)</f>
        <v>55121021.51727</v>
      </c>
      <c r="M7" cm="1">
        <f t="array" ref="M7">'Info'!$G$49*J7</f>
        <v>55121021.51727</v>
      </c>
      <c r="N7" cm="1">
        <f t="array" ref="N7">J7-K7-L7-M7</f>
        <v>330726129.10362</v>
      </c>
    </row>
    <row r="8">
      <c r="A8" t="str">
        <v>2032</v>
      </c>
      <c r="B8" cm="1">
        <f t="array" ref="B8">B7+H8+I8-J8-D8+F8+G8+E8</f>
        <v>575436210.04137</v>
      </c>
      <c r="C8">
        <v>1000000000</v>
      </c>
      <c r="D8" cm="1">
        <f t="array" ref="D8">-C7+C8</f>
        <v>0</v>
      </c>
      <c r="E8" cm="1">
        <f t="array" ref="E8">'Income'!B8</f>
        <v>2652313866.80457</v>
      </c>
      <c r="F8" cm="1">
        <f t="array" ref="F8">'Income'!C8</f>
        <v>0</v>
      </c>
      <c r="G8" cm="1">
        <f t="array" ref="G8">-E8*70%</f>
        <v>-1856619706.7632</v>
      </c>
      <c r="H8" cm="1">
        <f t="array" ref="H8">'Bank'!C8</f>
        <v>-220257950</v>
      </c>
      <c r="I8" cm="1">
        <f t="array" ref="I8">'Income'!K8</f>
        <v>0</v>
      </c>
      <c r="J8" cm="1">
        <f t="array" ref="J8">B7-D8</f>
        <v>563085702.85342</v>
      </c>
      <c r="K8" cm="1">
        <f t="array" ref="K8">IF(J8&lt;0,0,J8*'Info'!$G$47)</f>
        <v>112617140.570684</v>
      </c>
      <c r="L8" cm="1">
        <f t="array" ref="L8">IF(J8&lt;0,0,J8*'Info'!$G$48)</f>
        <v>56308570.285342</v>
      </c>
      <c r="M8" cm="1">
        <f t="array" ref="M8">'Info'!$G$49*J8</f>
        <v>56308570.285342</v>
      </c>
      <c r="N8" cm="1">
        <f t="array" ref="N8">J8-K8-L8-M8</f>
        <v>337851421.712052</v>
      </c>
    </row>
    <row r="9">
      <c r="A9" t="str">
        <v>2033</v>
      </c>
      <c r="B9" cm="1">
        <f t="array" ref="B9">B8+H9+I9-J9-D9+F9+G9+E9</f>
        <v>588280737.51683</v>
      </c>
      <c r="C9">
        <v>1000000000</v>
      </c>
      <c r="D9" cm="1">
        <f t="array" ref="D9">-C8+C9</f>
        <v>0</v>
      </c>
      <c r="E9" cm="1">
        <f t="array" ref="E9">'Income'!B9</f>
        <v>2695128958.38945</v>
      </c>
      <c r="F9" cm="1">
        <f t="array" ref="F9">'Income'!C9</f>
        <v>0</v>
      </c>
      <c r="G9" cm="1">
        <f t="array" ref="G9">-E9*70%</f>
        <v>-1886590270.87262</v>
      </c>
      <c r="H9" cm="1">
        <f t="array" ref="H9">'Bank'!C9</f>
        <v>-220257950</v>
      </c>
      <c r="I9" cm="1">
        <f t="array" ref="I9">'Income'!K9</f>
        <v>0</v>
      </c>
      <c r="J9" cm="1">
        <f t="array" ref="J9">B8-D9</f>
        <v>575436210.04137</v>
      </c>
      <c r="K9" cm="1">
        <f t="array" ref="K9">IF(J9&lt;0,0,J9*'Info'!$G$47)</f>
        <v>115087242.008274</v>
      </c>
      <c r="L9" cm="1">
        <f t="array" ref="L9">IF(J9&lt;0,0,J9*'Info'!$G$48)</f>
        <v>57543621.004137</v>
      </c>
      <c r="M9" cm="1">
        <f t="array" ref="M9">'Info'!$G$49*J9</f>
        <v>57543621.004137</v>
      </c>
      <c r="N9" cm="1">
        <f t="array" ref="N9">J9-K9-L9-M9</f>
        <v>345261726.024822</v>
      </c>
    </row>
    <row r="10">
      <c r="A10" t="str">
        <v>2034</v>
      </c>
      <c r="B10" cm="1">
        <f t="array" ref="B10">B9+H10+I10-J10-D10+F10+G10+E10</f>
        <v>601639046.09132</v>
      </c>
      <c r="C10">
        <v>1000000000</v>
      </c>
      <c r="D10" cm="1">
        <f t="array" ref="D10">-C9+C10</f>
        <v>0</v>
      </c>
      <c r="E10" cm="1">
        <f t="array" ref="E10">'Income'!B10</f>
        <v>2739656653.63773</v>
      </c>
      <c r="F10" cm="1">
        <f t="array" ref="F10">'Income'!C10</f>
        <v>0</v>
      </c>
      <c r="G10" cm="1">
        <f t="array" ref="G10">-E10*70%</f>
        <v>-1917759657.54641</v>
      </c>
      <c r="H10" cm="1">
        <f t="array" ref="H10">'Bank'!C10</f>
        <v>-220257950</v>
      </c>
      <c r="I10" cm="1">
        <f t="array" ref="I10">'Income'!K10</f>
        <v>0</v>
      </c>
      <c r="J10" cm="1">
        <f t="array" ref="J10">B9-D10</f>
        <v>588280737.51683</v>
      </c>
      <c r="K10" cm="1">
        <f t="array" ref="K10">IF(J10&lt;0,0,J10*'Info'!$G$47)</f>
        <v>117656147.503366</v>
      </c>
      <c r="L10" cm="1">
        <f t="array" ref="L10">IF(J10&lt;0,0,J10*'Info'!$G$48)</f>
        <v>58828073.751683</v>
      </c>
      <c r="M10" cm="1">
        <f t="array" ref="M10">'Info'!$G$49*J10</f>
        <v>58828073.751683</v>
      </c>
      <c r="N10" cm="1">
        <f t="array" ref="N10">J10-K10-L10-M10</f>
        <v>352968442.510098</v>
      </c>
    </row>
    <row r="11">
      <c r="A11" t="str">
        <v>2035</v>
      </c>
      <c r="B11" cm="1">
        <f t="array" ref="B11">B10+H11+I11-J11-D11+F11+G11+E11</f>
        <v>615531687.00878</v>
      </c>
      <c r="C11">
        <v>1000000000</v>
      </c>
      <c r="D11" cm="1">
        <f t="array" ref="D11">-C10+C11</f>
        <v>0</v>
      </c>
      <c r="E11" cm="1">
        <f t="array" ref="E11">'Income'!B11</f>
        <v>2785965456.69594</v>
      </c>
      <c r="F11" cm="1">
        <f t="array" ref="F11">'Income'!C11</f>
        <v>0</v>
      </c>
      <c r="G11" cm="1">
        <f t="array" ref="G11">-E11*70%</f>
        <v>-1950175819.68716</v>
      </c>
      <c r="H11" cm="1">
        <f t="array" ref="H11">'Bank'!C11</f>
        <v>-220257950</v>
      </c>
      <c r="I11" cm="1">
        <f t="array" ref="I11">'Income'!K11</f>
        <v>0</v>
      </c>
      <c r="J11" cm="1">
        <f t="array" ref="J11">B10-D11</f>
        <v>601639046.09132</v>
      </c>
      <c r="K11" cm="1">
        <f t="array" ref="K11">IF(J11&lt;0,0,J11*'Info'!$G$47)</f>
        <v>120327809.218264</v>
      </c>
      <c r="L11" cm="1">
        <f t="array" ref="L11">IF(J11&lt;0,0,J11*'Info'!$G$48)</f>
        <v>60163904.609132</v>
      </c>
      <c r="M11" cm="1">
        <f t="array" ref="M11">'Info'!$G$49*J11</f>
        <v>60163904.609132</v>
      </c>
      <c r="N11" cm="1">
        <f t="array" ref="N11">J11-K11-L11-M11</f>
        <v>360983427.654792</v>
      </c>
    </row>
    <row r="12">
      <c r="A12" t="str">
        <v>2036</v>
      </c>
      <c r="B12" cm="1">
        <f t="array" ref="B12">B11+H12+I12-J12-D12+F12+G12+E12</f>
        <v>629980033.56294</v>
      </c>
      <c r="C12">
        <v>1000000000</v>
      </c>
      <c r="D12" cm="1">
        <f t="array" ref="D12">-C11+C12</f>
        <v>0</v>
      </c>
      <c r="E12" cm="1">
        <f t="array" ref="E12">'Income'!B12</f>
        <v>2834126611.87648</v>
      </c>
      <c r="F12" cm="1">
        <f t="array" ref="F12">'Income'!C12</f>
        <v>0</v>
      </c>
      <c r="G12" cm="1">
        <f t="array" ref="G12">-E12*70%</f>
        <v>-1983888628.31354</v>
      </c>
      <c r="H12" cm="1">
        <f t="array" ref="H12">'Bank'!C12</f>
        <v>-220257950</v>
      </c>
      <c r="I12" cm="1">
        <f t="array" ref="I12">'Income'!K12</f>
        <v>0</v>
      </c>
      <c r="J12" cm="1">
        <f t="array" ref="J12">B11-D12</f>
        <v>615531687.00878</v>
      </c>
      <c r="K12" cm="1">
        <f t="array" ref="K12">IF(J12&lt;0,0,J12*'Info'!$G$47)</f>
        <v>123106337.401756</v>
      </c>
      <c r="L12" cm="1">
        <f t="array" ref="L12">IF(J12&lt;0,0,J12*'Info'!$G$48)</f>
        <v>61553168.700878</v>
      </c>
      <c r="M12" cm="1">
        <f t="array" ref="M12">'Info'!$G$49*J12</f>
        <v>61553168.700878</v>
      </c>
      <c r="N12" cm="1">
        <f t="array" ref="N12">J12-K12-L12-M12</f>
        <v>369319012.205268</v>
      </c>
    </row>
    <row r="13">
      <c r="A13" t="str">
        <v>2037</v>
      </c>
      <c r="B13" cm="1">
        <f t="array" ref="B13">B12+H13+I13-J13-D13+F13+G13+E13</f>
        <v>645006313.97927</v>
      </c>
      <c r="C13">
        <v>1000000000</v>
      </c>
      <c r="D13" cm="1">
        <f t="array" ref="D13">-C12+C13</f>
        <v>0</v>
      </c>
      <c r="E13" cm="1">
        <f t="array" ref="E13">'Income'!B13</f>
        <v>2884214213.26424</v>
      </c>
      <c r="F13" cm="1">
        <f t="array" ref="F13">'Income'!C13</f>
        <v>0</v>
      </c>
      <c r="G13" cm="1">
        <f t="array" ref="G13">-E13*70%</f>
        <v>-2018949949.28497</v>
      </c>
      <c r="H13" cm="1">
        <f t="array" ref="H13">'Bank'!C13</f>
        <v>-220257950</v>
      </c>
      <c r="I13" cm="1">
        <f t="array" ref="I13">'Income'!K13</f>
        <v>0</v>
      </c>
      <c r="J13" cm="1">
        <f t="array" ref="J13">B12-D13</f>
        <v>629980033.56294</v>
      </c>
      <c r="K13" cm="1">
        <f t="array" ref="K13">IF(J13&lt;0,0,J13*'Info'!$G$47)</f>
        <v>125996006.712588</v>
      </c>
      <c r="L13" cm="1">
        <f t="array" ref="L13">IF(J13&lt;0,0,J13*'Info'!$G$48)</f>
        <v>62998003.356294</v>
      </c>
      <c r="M13" cm="1">
        <f t="array" ref="M13">'Info'!$G$49*J13</f>
        <v>62998003.356294</v>
      </c>
      <c r="N13" cm="1">
        <f t="array" ref="N13">J13-K13-L13-M13</f>
        <v>377988020.137764</v>
      </c>
    </row>
    <row r="14">
      <c r="A14" t="str">
        <v>2038</v>
      </c>
      <c r="B14" cm="1">
        <f t="array" ref="B14">B13+H14+I14-J14-D14+F14+G14+E14</f>
        <v>625108493.55214</v>
      </c>
      <c r="C14">
        <v>1000000000</v>
      </c>
      <c r="D14" cm="1">
        <f t="array" ref="D14">-C13+C14</f>
        <v>0</v>
      </c>
      <c r="E14" cm="1">
        <f t="array" ref="E14">'Income'!B14</f>
        <v>2817888145.1738</v>
      </c>
      <c r="F14" cm="1">
        <f t="array" ref="F14">'Income'!C14</f>
        <v>0</v>
      </c>
      <c r="G14" cm="1">
        <f t="array" ref="G14">-E14*70%</f>
        <v>-1972521701.62166</v>
      </c>
      <c r="H14" cm="1">
        <f t="array" ref="H14">'Bank'!C14</f>
        <v>-220257950</v>
      </c>
      <c r="I14" cm="1">
        <f t="array" ref="I14">'Income'!K14</f>
        <v>0</v>
      </c>
      <c r="J14" cm="1">
        <f t="array" ref="J14">B13-D14</f>
        <v>645006313.97927</v>
      </c>
      <c r="K14" cm="1">
        <f t="array" ref="K14">IF(J14&lt;0,0,J14*'Info'!$G$47)</f>
        <v>129001262.795854</v>
      </c>
      <c r="L14" cm="1">
        <f t="array" ref="L14">IF(J14&lt;0,0,J14*'Info'!$G$48)</f>
        <v>64500631.397927</v>
      </c>
      <c r="M14" cm="1">
        <f t="array" ref="M14">'Info'!$G$49*J14</f>
        <v>64500631.397927</v>
      </c>
      <c r="N14" cm="1">
        <f t="array" ref="N14">J14-K14-L14-M14</f>
        <v>387003788.387562</v>
      </c>
    </row>
    <row r="15">
      <c r="A15" t="str">
        <v>2039</v>
      </c>
      <c r="B15" cm="1">
        <f t="array" ref="B15">B14+H15+I15-J15-D15+F15+G15+E15</f>
        <v>641360918.45044</v>
      </c>
      <c r="C15">
        <v>1000000000</v>
      </c>
      <c r="D15" cm="1">
        <f t="array" ref="D15">-C14+C15</f>
        <v>0</v>
      </c>
      <c r="E15" cm="1">
        <f t="array" ref="E15">'Income'!B15</f>
        <v>2872062894.8348</v>
      </c>
      <c r="F15" cm="1">
        <f t="array" ref="F15">'Income'!C15</f>
        <v>0</v>
      </c>
      <c r="G15" cm="1">
        <f t="array" ref="G15">-E15*70%</f>
        <v>-2010444026.38436</v>
      </c>
      <c r="H15" cm="1">
        <f t="array" ref="H15">'Bank'!C15</f>
        <v>-220257950</v>
      </c>
      <c r="I15" cm="1">
        <f t="array" ref="I15">'Income'!K15</f>
        <v>0</v>
      </c>
      <c r="J15" cm="1">
        <f t="array" ref="J15">B14-D15</f>
        <v>625108493.55214</v>
      </c>
      <c r="K15" cm="1">
        <f t="array" ref="K15">IF(J15&lt;0,0,J15*'Info'!$G$47)</f>
        <v>125021698.710428</v>
      </c>
      <c r="L15" cm="1">
        <f t="array" ref="L15">IF(J15&lt;0,0,J15*'Info'!$G$48)</f>
        <v>62510849.355214</v>
      </c>
      <c r="M15" cm="1">
        <f t="array" ref="M15">'Info'!$G$49*J15</f>
        <v>62510849.355214</v>
      </c>
      <c r="N15" cm="1">
        <f t="array" ref="N15">J15-K15-L15-M15</f>
        <v>375065096.131284</v>
      </c>
    </row>
    <row r="16">
      <c r="A16" t="str">
        <v>2040</v>
      </c>
      <c r="B16" cm="1">
        <f t="array" ref="B16">B15+H16+I16-J16-D16+F16+G16+E16</f>
        <v>658263440.34467</v>
      </c>
      <c r="C16">
        <v>1000000000</v>
      </c>
      <c r="D16" cm="1">
        <f t="array" ref="D16">-C15+C16</f>
        <v>0</v>
      </c>
      <c r="E16" cm="1">
        <f t="array" ref="E16">'Income'!B16</f>
        <v>2928404634.48224</v>
      </c>
      <c r="F16" cm="1">
        <f t="array" ref="F16">'Income'!C16</f>
        <v>0</v>
      </c>
      <c r="G16" cm="1">
        <f t="array" ref="G16">-E16*70%</f>
        <v>-2049883244.13757</v>
      </c>
      <c r="H16" cm="1">
        <f t="array" ref="H16">'Bank'!C16</f>
        <v>-220257950</v>
      </c>
      <c r="I16" cm="1">
        <f t="array" ref="I16">'Income'!K16</f>
        <v>0</v>
      </c>
      <c r="J16" cm="1">
        <f t="array" ref="J16">B15-D16</f>
        <v>641360918.45044</v>
      </c>
      <c r="K16" cm="1">
        <f t="array" ref="K16">IF(J16&lt;0,0,J16*'Info'!$G$47)</f>
        <v>128272183.690088</v>
      </c>
      <c r="L16" cm="1">
        <f t="array" ref="L16">IF(J16&lt;0,0,J16*'Info'!$G$48)</f>
        <v>64136091.845044</v>
      </c>
      <c r="M16" cm="1">
        <f t="array" ref="M16">'Info'!$G$49*J16</f>
        <v>64136091.845044</v>
      </c>
      <c r="N16" cm="1">
        <f t="array" ref="N16">IF(J16&lt;0,0,J16-K16-L16-M16)</f>
        <v>384816551.070264</v>
      </c>
    </row>
    <row r="17">
      <c r="A17" t="str">
        <v>2041</v>
      </c>
      <c r="B17" cm="1">
        <f t="array" ref="B17">B16+H17+I17-J17-D17+F17+G17+E17</f>
        <v>675842063.11467</v>
      </c>
      <c r="C17">
        <v>1000000000</v>
      </c>
      <c r="D17" cm="1">
        <f t="array" ref="D17">-C16+C17</f>
        <v>0</v>
      </c>
      <c r="E17" cm="1">
        <f t="array" ref="E17">'Income'!B17</f>
        <v>2987000043.71558</v>
      </c>
      <c r="F17" cm="1">
        <f t="array" ref="F17">'Income'!C17</f>
        <v>0</v>
      </c>
      <c r="G17" cm="1">
        <f t="array" ref="G17">-E17*70%</f>
        <v>-2090900030.60091</v>
      </c>
      <c r="H17" cm="1">
        <f t="array" ref="H17">'Bank'!C17</f>
        <v>-220257950</v>
      </c>
      <c r="I17" cm="1">
        <f t="array" ref="I17">'Income'!K17</f>
        <v>0</v>
      </c>
      <c r="J17" cm="1">
        <f t="array" ref="J17">B16-D17</f>
        <v>658263440.34467</v>
      </c>
      <c r="K17" cm="1">
        <f t="array" ref="K17">IF(J17&lt;0,0,J17*'Info'!$G$47)</f>
        <v>131652688.068934</v>
      </c>
      <c r="L17" cm="1">
        <f t="array" ref="L17">IF(J17&lt;0,0,J17*'Info'!$G$48)</f>
        <v>65826344.034467</v>
      </c>
      <c r="M17" cm="1">
        <f t="array" ref="M17">'Info'!$G$49*J17</f>
        <v>65826344.034467</v>
      </c>
      <c r="N17" cm="1">
        <f t="array" ref="N17">IF(J17&lt;0,0,J17-K17-L17-M17)</f>
        <v>394958064.206802</v>
      </c>
    </row>
    <row r="18">
      <c r="A18" t="str">
        <v>2042</v>
      </c>
      <c r="B18" cm="1">
        <f t="array" ref="B18">B17+H18+I18-J18-D18+F18+G18+E18</f>
        <v>694123830.79547</v>
      </c>
      <c r="C18">
        <v>1000000000</v>
      </c>
      <c r="D18" cm="1">
        <f t="array" ref="D18">-C17+C18</f>
        <v>0</v>
      </c>
      <c r="E18" cm="1">
        <f t="array" ref="E18">'Income'!B18</f>
        <v>3047939269.31825</v>
      </c>
      <c r="F18" cm="1">
        <f t="array" ref="F18">'Income'!C18</f>
        <v>0</v>
      </c>
      <c r="G18" cm="1">
        <f t="array" ref="G18">-E18*70%</f>
        <v>-2133557488.52278</v>
      </c>
      <c r="H18" cm="1">
        <f t="array" ref="H18">'Bank'!C18</f>
        <v>-220257950</v>
      </c>
      <c r="I18" cm="1">
        <f t="array" ref="I18">'Income'!K18</f>
        <v>0</v>
      </c>
      <c r="J18" cm="1">
        <f t="array" ref="J18">B17-D18</f>
        <v>675842063.11467</v>
      </c>
      <c r="K18" cm="1">
        <f t="array" ref="K18">IF(J18&lt;0,0,J18*'Info'!$G$47)</f>
        <v>135168412.622934</v>
      </c>
      <c r="L18" cm="1">
        <f t="array" ref="L18">IF(J18&lt;0,0,J18*'Info'!$G$48)</f>
        <v>67584206.311467</v>
      </c>
      <c r="M18" cm="1">
        <f t="array" ref="M18">'Info'!$G$49*J18</f>
        <v>67584206.311467</v>
      </c>
      <c r="N18" cm="1">
        <f t="array" ref="N18">IF(J18&lt;0,0,J18-K18-L18-M18)</f>
        <v>405505237.868802</v>
      </c>
    </row>
    <row r="19">
      <c r="A19" t="str">
        <v>2043</v>
      </c>
      <c r="B19" cm="1">
        <f t="array" ref="B19">B18+H19+I19-J19-D19+F19+G19+E19</f>
        <v>713136869.18351</v>
      </c>
      <c r="C19">
        <v>1000000000</v>
      </c>
      <c r="D19" cm="1">
        <f t="array" ref="D19">-C18+C19</f>
        <v>0</v>
      </c>
      <c r="E19" cm="1">
        <f t="array" ref="E19">'Income'!B19</f>
        <v>3111316063.94503</v>
      </c>
      <c r="F19" cm="1">
        <f t="array" ref="F19">'Income'!C19</f>
        <v>0</v>
      </c>
      <c r="G19" cm="1">
        <f t="array" ref="G19">-E19*70%</f>
        <v>-2177921244.76152</v>
      </c>
      <c r="H19" cm="1">
        <f t="array" ref="H19">'Bank'!C19</f>
        <v>-220257950</v>
      </c>
      <c r="I19" cm="1">
        <f t="array" ref="I19">'Income'!K19</f>
        <v>0</v>
      </c>
      <c r="J19" cm="1">
        <f t="array" ref="J19">B18-D19</f>
        <v>694123830.79547</v>
      </c>
      <c r="K19" cm="1">
        <f t="array" ref="K19">IF(J19&lt;0,0,J19*'Info'!$G$47)</f>
        <v>138824766.159094</v>
      </c>
      <c r="L19" cm="1">
        <f t="array" ref="L19">IF(J19&lt;0,0,J19*'Info'!$G$48)</f>
        <v>69412383.079547</v>
      </c>
      <c r="M19" cm="1">
        <f t="array" ref="M19">'Info'!$G$49*J19</f>
        <v>69412383.079547</v>
      </c>
      <c r="N19" cm="1">
        <f t="array" ref="N19">IF(J19&lt;0,0,J19-K19-L19-M19)</f>
        <v>416474298.477282</v>
      </c>
    </row>
    <row r="20">
      <c r="A20" t="str">
        <v>2044</v>
      </c>
      <c r="B20" cm="1">
        <f t="array" ref="B20">B19+H20+I20-J20-D20+F20+G20+E20</f>
        <v>732910429.10706</v>
      </c>
      <c r="C20">
        <v>1000000000</v>
      </c>
      <c r="D20" cm="1">
        <f t="array" ref="D20">-C19+C20</f>
        <v>0</v>
      </c>
      <c r="E20" cm="1">
        <f t="array" ref="E20">'Income'!B20</f>
        <v>3177227930.35688</v>
      </c>
      <c r="F20" cm="1">
        <f t="array" ref="F20">'Income'!C20</f>
        <v>0</v>
      </c>
      <c r="G20" cm="1">
        <f t="array" ref="G20">-E20*70%</f>
        <v>-2224059551.24982</v>
      </c>
      <c r="H20" cm="1">
        <f t="array" ref="H20">'Bank'!C20</f>
        <v>-220257950</v>
      </c>
      <c r="I20" cm="1">
        <f t="array" ref="I20">'Income'!K20</f>
        <v>0</v>
      </c>
      <c r="J20" cm="1">
        <f t="array" ref="J20">B19-D20</f>
        <v>713136869.18351</v>
      </c>
      <c r="K20" cm="1">
        <f t="array" ref="K20">IF(J20&lt;0,0,J20*'Info'!$G$47)</f>
        <v>142627373.836702</v>
      </c>
      <c r="L20" cm="1">
        <f t="array" ref="L20">IF(J20&lt;0,0,J20*'Info'!$G$48)</f>
        <v>71313686.918351</v>
      </c>
      <c r="M20" cm="1">
        <f t="array" ref="M20">'Info'!$G$49*J20</f>
        <v>71313686.918351</v>
      </c>
      <c r="N20" cm="1">
        <f t="array" ref="N20">IF(J20&lt;0,0,J20-K20-L20-M20)</f>
        <v>427882121.510106</v>
      </c>
    </row>
  </sheetData>
  <pageMargins left="1" right="1" top="1" bottom="1" header="0.25" footer="0.25"/>
  <ignoredErrors>
    <ignoredError numberStoredAsText="1" sqref="A1:N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0"/>
  <sheetViews>
    <sheetView workbookViewId="0" rightToLeft="0"/>
  </sheetViews>
  <sheetData>
    <row r="1">
      <c r="A1" t="str">
        <v>Year</v>
      </c>
      <c r="B1" t="str">
        <v>Income</v>
      </c>
      <c r="C1" t="str">
        <v>Tổng Thu khác</v>
      </c>
      <c r="D1" t="str">
        <v>Lương KK</v>
      </c>
      <c r="E1" t="str">
        <v>Lương SC</v>
      </c>
      <c r="F1" t="str">
        <v>Warehouse for rent</v>
      </c>
      <c r="G1" t="str">
        <v>Tiền thuê KK</v>
      </c>
      <c r="H1" t="str">
        <v>Cty</v>
      </c>
      <c r="I1" t="str">
        <v xml:space="preserve">Bán đất ở </v>
      </c>
      <c r="J1" t="str">
        <v>Thu khác</v>
      </c>
      <c r="K1" t="str">
        <v>Other expense</v>
      </c>
      <c r="L1" t="str">
        <v>Mua BDS</v>
      </c>
      <c r="M1" t="str">
        <v xml:space="preserve">Vay </v>
      </c>
      <c r="N1" t="str">
        <v xml:space="preserve">Investment </v>
      </c>
      <c r="O1" t="str">
        <v>Du hoc</v>
      </c>
    </row>
    <row r="2">
      <c r="A2">
        <v>2026</v>
      </c>
      <c r="B2" cm="1">
        <f t="array" ref="B2">SUM(D2:H2)</f>
        <v>2024648562.45358</v>
      </c>
      <c r="C2" cm="1">
        <f t="array" ref="C2">I2+J2</f>
        <v>0</v>
      </c>
      <c r="D2">
        <v>216000000</v>
      </c>
      <c r="E2">
        <v>90000000</v>
      </c>
      <c r="G2" cm="1">
        <f t="array" ref="G2">519168000*(1+4%)</f>
        <v>539934720</v>
      </c>
      <c r="H2">
        <v>1178713842.45358</v>
      </c>
      <c r="K2" cm="1">
        <f t="array" ref="K2">SUM(L2:O2)</f>
        <v>0</v>
      </c>
    </row>
    <row r="3">
      <c r="A3">
        <v>2027</v>
      </c>
      <c r="B3" cm="1">
        <f t="array" ref="B3">SUM(D3:H3)</f>
        <v>2058698044.27683</v>
      </c>
      <c r="C3" cm="1">
        <f t="array" ref="C3">I3+J3</f>
        <v>0</v>
      </c>
      <c r="D3" cm="1">
        <f t="array" ref="D3">D2*(1+4%)</f>
        <v>224640000</v>
      </c>
      <c r="E3" cm="1">
        <f t="array" ref="E3">E2*(1+4%)</f>
        <v>93600000</v>
      </c>
      <c r="G3" cm="1">
        <f t="array" ref="G3">G2*(1+4%)</f>
        <v>561532108.8</v>
      </c>
      <c r="H3">
        <v>1178925935.47683</v>
      </c>
      <c r="K3" cm="1">
        <f t="array" ref="K3">SUM(L3:O3)</f>
        <v>0</v>
      </c>
    </row>
    <row r="4">
      <c r="A4">
        <v>2028</v>
      </c>
      <c r="B4" cm="1">
        <f t="array" ref="B4">SUM(D4:H4)</f>
        <v>2207221021.65209</v>
      </c>
      <c r="C4" cm="1">
        <f t="array" ref="C4">I4+J4</f>
        <v>0</v>
      </c>
      <c r="D4" cm="1">
        <f t="array" ref="D4">D3*(1+4%)</f>
        <v>233625600</v>
      </c>
      <c r="E4" cm="1">
        <f t="array" ref="E4">E3*(1+4%)</f>
        <v>97344000</v>
      </c>
      <c r="G4" cm="1">
        <f t="array" ref="G4">G3*(1+4%)</f>
        <v>583993393.152</v>
      </c>
      <c r="H4">
        <v>1292258028.50009</v>
      </c>
      <c r="K4" cm="1">
        <f t="array" ref="K4">SUM(L4:O4)</f>
        <v>0</v>
      </c>
    </row>
    <row r="5">
      <c r="A5">
        <v>2029</v>
      </c>
      <c r="B5" cm="1">
        <f t="array" ref="B5">SUM(D5:H5)</f>
        <v>2329459717.96753</v>
      </c>
      <c r="C5" cm="1">
        <f t="array" ref="C5">I5+J5</f>
        <v>0</v>
      </c>
      <c r="D5" cm="1">
        <f t="array" ref="D5">D4*(1+4%)</f>
        <v>242970624</v>
      </c>
      <c r="E5" cm="1">
        <f t="array" ref="E5">E4*(1+4%)</f>
        <v>101237760</v>
      </c>
      <c r="G5" cm="1">
        <f t="array" ref="G5">G4*(1+4%)</f>
        <v>607353128.87808</v>
      </c>
      <c r="H5">
        <v>1377898205.08945</v>
      </c>
      <c r="K5" cm="1">
        <f t="array" ref="K5">SUM(L5:O5)</f>
        <v>0</v>
      </c>
    </row>
    <row r="6">
      <c r="A6">
        <v>2030</v>
      </c>
      <c r="B6" cm="1">
        <f t="array" ref="B6">SUM(D6:H6)</f>
        <v>2571560550.57568</v>
      </c>
      <c r="C6" cm="1">
        <f t="array" ref="C6">I6+J6</f>
        <v>0</v>
      </c>
      <c r="D6" cm="1">
        <f t="array" ref="D6">D5*(1+4%)</f>
        <v>252689448.96</v>
      </c>
      <c r="E6" cm="1">
        <f t="array" ref="E6">E5*(1+4%)</f>
        <v>105287270.4</v>
      </c>
      <c r="G6" cm="1">
        <f t="array" ref="G6">G5*(1+4%)</f>
        <v>631647254.033203</v>
      </c>
      <c r="H6">
        <v>1581936577.18248</v>
      </c>
      <c r="K6" cm="1">
        <f t="array" ref="K6">SUM(L6:O6)</f>
        <v>0</v>
      </c>
    </row>
    <row r="7">
      <c r="A7">
        <v>2031</v>
      </c>
      <c r="B7" cm="1">
        <f t="array" ref="B7">SUM(D7:H7)</f>
        <v>2611145509.51141</v>
      </c>
      <c r="C7" cm="1">
        <f t="array" ref="C7">I7+J7</f>
        <v>0</v>
      </c>
      <c r="D7" cm="1">
        <f t="array" ref="D7">D6*(1+4%)</f>
        <v>262797026.9184</v>
      </c>
      <c r="E7" cm="1">
        <f t="array" ref="E7">E6*(1+4%)</f>
        <v>109498761.216</v>
      </c>
      <c r="G7" cm="1">
        <f t="array" ref="G7">G6*(1+4%)</f>
        <v>656913144.194531</v>
      </c>
      <c r="H7">
        <v>1581936577.18248</v>
      </c>
      <c r="K7" cm="1">
        <f t="array" ref="K7">SUM(L7:O7)</f>
        <v>0</v>
      </c>
    </row>
    <row r="8">
      <c r="A8">
        <v>2032</v>
      </c>
      <c r="B8" cm="1">
        <f t="array" ref="B8">SUM(D8:H8)</f>
        <v>2652313866.80457</v>
      </c>
      <c r="C8" cm="1">
        <f t="array" ref="C8">I8+J8</f>
        <v>0</v>
      </c>
      <c r="D8" cm="1">
        <f t="array" ref="D8">D7*(1+4%)</f>
        <v>273308907.995136</v>
      </c>
      <c r="E8" cm="1">
        <f t="array" ref="E8">E7*(1+4%)</f>
        <v>113878711.66464</v>
      </c>
      <c r="G8" cm="1">
        <f t="array" ref="G8">G7*(1+4%)</f>
        <v>683189669.962312</v>
      </c>
      <c r="H8">
        <v>1581936577.18248</v>
      </c>
      <c r="K8" cm="1">
        <f t="array" ref="K8">SUM(L8:O8)</f>
        <v>0</v>
      </c>
    </row>
    <row r="9">
      <c r="A9">
        <v>2033</v>
      </c>
      <c r="B9" cm="1">
        <f t="array" ref="B9">SUM(D9:H9)</f>
        <v>2695128958.38945</v>
      </c>
      <c r="C9" cm="1">
        <f t="array" ref="C9">I9+J9</f>
        <v>0</v>
      </c>
      <c r="D9" cm="1">
        <f t="array" ref="D9">D8*(1+4%)</f>
        <v>284241264.314941</v>
      </c>
      <c r="E9" cm="1">
        <f t="array" ref="E9">E8*(1+4%)</f>
        <v>118433860.131226</v>
      </c>
      <c r="G9" cm="1">
        <f t="array" ref="G9">G8*(1+4%)</f>
        <v>710517256.760804</v>
      </c>
      <c r="H9">
        <v>1581936577.18248</v>
      </c>
      <c r="K9" cm="1">
        <f t="array" ref="K9">SUM(L9:O9)</f>
        <v>0</v>
      </c>
    </row>
    <row r="10">
      <c r="A10">
        <v>2034</v>
      </c>
      <c r="B10" cm="1">
        <f t="array" ref="B10">SUM(D10:H10)</f>
        <v>2739656653.63773</v>
      </c>
      <c r="C10" cm="1">
        <f t="array" ref="C10">I10+J10</f>
        <v>0</v>
      </c>
      <c r="D10" cm="1">
        <f t="array" ref="D10">D9*(1+4%)</f>
        <v>295610914.887539</v>
      </c>
      <c r="E10" cm="1">
        <f t="array" ref="E10">E9*(1+4%)</f>
        <v>123171214.536475</v>
      </c>
      <c r="G10" cm="1">
        <f t="array" ref="G10">G9*(1+4%)</f>
        <v>738937947.031236</v>
      </c>
      <c r="H10">
        <v>1581936577.18248</v>
      </c>
      <c r="K10" cm="1">
        <f t="array" ref="K10">SUM(L10:O10)</f>
        <v>0</v>
      </c>
    </row>
    <row r="11">
      <c r="A11">
        <v>2035</v>
      </c>
      <c r="B11" cm="1">
        <f t="array" ref="B11">SUM(D11:H11)</f>
        <v>2785965456.69594</v>
      </c>
      <c r="C11" cm="1">
        <f t="array" ref="C11">I11+J11</f>
        <v>0</v>
      </c>
      <c r="D11" cm="1">
        <f t="array" ref="D11">D10*(1+4%)</f>
        <v>307435351.483041</v>
      </c>
      <c r="E11" cm="1">
        <f t="array" ref="E11">E10*(1+4%)</f>
        <v>128098063.117934</v>
      </c>
      <c r="G11" cm="1">
        <f t="array" ref="G11">G10*(1+4%)</f>
        <v>768495464.912485</v>
      </c>
      <c r="H11">
        <v>1581936577.18248</v>
      </c>
      <c r="K11" cm="1">
        <f t="array" ref="K11">SUM(L11:O11)</f>
        <v>0</v>
      </c>
    </row>
    <row r="12">
      <c r="A12">
        <v>2036</v>
      </c>
      <c r="B12" cm="1">
        <f t="array" ref="B12">SUM(D12:H12)</f>
        <v>2834126611.87648</v>
      </c>
      <c r="C12" cm="1">
        <f t="array" ref="C12">I12+J12</f>
        <v>0</v>
      </c>
      <c r="D12" cm="1">
        <f t="array" ref="D12">D11*(1+4%)</f>
        <v>319732765.542363</v>
      </c>
      <c r="E12" cm="1">
        <f t="array" ref="E12">E11*(1+4%)</f>
        <v>133221985.642651</v>
      </c>
      <c r="G12" cm="1">
        <f t="array" ref="G12">G11*(1+4%)</f>
        <v>799235283.508984</v>
      </c>
      <c r="H12">
        <v>1581936577.18248</v>
      </c>
      <c r="K12" cm="1">
        <f t="array" ref="K12">SUM(L12:O12)</f>
        <v>0</v>
      </c>
    </row>
    <row r="13">
      <c r="A13">
        <v>2037</v>
      </c>
      <c r="B13" cm="1">
        <f t="array" ref="B13">SUM(D13:H13)</f>
        <v>2884214213.26424</v>
      </c>
      <c r="C13" cm="1">
        <f t="array" ref="C13">I13+J13</f>
        <v>0</v>
      </c>
      <c r="D13" cm="1">
        <f t="array" ref="D13">D12*(1+4%)</f>
        <v>332522076.164058</v>
      </c>
      <c r="E13" cm="1">
        <f t="array" ref="E13">E12*(1+4%)</f>
        <v>138550865.068357</v>
      </c>
      <c r="G13" cm="1">
        <f t="array" ref="G13">G12*(1+4%)</f>
        <v>831204694.849343</v>
      </c>
      <c r="H13">
        <v>1581936577.18248</v>
      </c>
      <c r="K13" cm="1">
        <f t="array" ref="K13">SUM(L13:O13)</f>
        <v>0</v>
      </c>
    </row>
    <row r="14">
      <c r="A14">
        <v>2038</v>
      </c>
      <c r="B14" cm="1">
        <f t="array" ref="B14">SUM(D14:H14)</f>
        <v>2817888145.1738</v>
      </c>
      <c r="C14" cm="1">
        <f t="array" ref="C14">I14+J14</f>
        <v>0</v>
      </c>
      <c r="D14" cm="1">
        <f t="array" ref="D14">D13*(1+4%)</f>
        <v>345822959.21062</v>
      </c>
      <c r="E14" cm="1">
        <f t="array" ref="E14">E13*(1+4%)</f>
        <v>144092899.671091</v>
      </c>
      <c r="G14" cm="1">
        <f t="array" ref="G14">G13*(1+4%)</f>
        <v>864452882.643317</v>
      </c>
      <c r="H14">
        <v>1463519403.64877</v>
      </c>
      <c r="K14" cm="1">
        <f t="array" ref="K14">SUM(L14:O14)</f>
        <v>0</v>
      </c>
    </row>
    <row r="15">
      <c r="A15">
        <v>2039</v>
      </c>
      <c r="B15" cm="1">
        <f t="array" ref="B15">SUM(D15:H15)</f>
        <v>2872062894.8348</v>
      </c>
      <c r="C15" cm="1">
        <f t="array" ref="C15">I15+J15</f>
        <v>0</v>
      </c>
      <c r="D15" cm="1">
        <f t="array" ref="D15">D14*(1+4%)</f>
        <v>359655877.579045</v>
      </c>
      <c r="E15" cm="1">
        <f t="array" ref="E15">E14*(1+4%)</f>
        <v>149856615.657935</v>
      </c>
      <c r="G15" cm="1">
        <f t="array" ref="G15">G14*(1+4%)</f>
        <v>899030997.94905</v>
      </c>
      <c r="H15">
        <v>1463519403.64877</v>
      </c>
      <c r="K15" cm="1">
        <f t="array" ref="K15">SUM(L15:O15)</f>
        <v>0</v>
      </c>
    </row>
    <row r="16">
      <c r="A16">
        <v>2040</v>
      </c>
      <c r="B16" cm="1">
        <f t="array" ref="B16">SUM(D16:H16)</f>
        <v>2928404634.48224</v>
      </c>
      <c r="C16" cm="1">
        <f t="array" ref="C16">I16+J16</f>
        <v>0</v>
      </c>
      <c r="D16" cm="1">
        <f t="array" ref="D16">D15*(1+4%)</f>
        <v>374042112.682207</v>
      </c>
      <c r="E16" cm="1">
        <f t="array" ref="E16">E15*(1+4%)</f>
        <v>155850880.284252</v>
      </c>
      <c r="G16" cm="1">
        <f t="array" ref="G16">G15*(1+4%)</f>
        <v>934992237.867012</v>
      </c>
      <c r="H16">
        <v>1463519403.64877</v>
      </c>
      <c r="K16" cm="1">
        <f t="array" ref="K16">SUM(L16:O16)</f>
        <v>0</v>
      </c>
    </row>
    <row r="17">
      <c r="A17">
        <v>2041</v>
      </c>
      <c r="B17" cm="1">
        <f t="array" ref="B17">SUM(D17:H17)</f>
        <v>2987000043.71558</v>
      </c>
      <c r="C17" cm="1">
        <f t="array" ref="C17">I17+J17</f>
        <v>0</v>
      </c>
      <c r="D17" cm="1">
        <f t="array" ref="D17">D16*(1+4%)</f>
        <v>389003797.189495</v>
      </c>
      <c r="E17" cm="1">
        <f t="array" ref="E17">E16*(1+4%)</f>
        <v>162084915.495622</v>
      </c>
      <c r="G17" cm="1">
        <f t="array" ref="G17">G16*(1+4%)</f>
        <v>972391927.381692</v>
      </c>
      <c r="H17">
        <v>1463519403.64877</v>
      </c>
      <c r="K17" cm="1">
        <f t="array" ref="K17">SUM(L17:O17)</f>
        <v>0</v>
      </c>
    </row>
    <row r="18">
      <c r="A18">
        <v>2042</v>
      </c>
      <c r="B18" cm="1">
        <f t="array" ref="B18">SUM(D18:H18)</f>
        <v>3047939269.31825</v>
      </c>
      <c r="C18" cm="1">
        <f t="array" ref="C18">I18+J18</f>
        <v>0</v>
      </c>
      <c r="D18" cm="1">
        <f t="array" ref="D18">D17*(1+4%)</f>
        <v>404563949.077075</v>
      </c>
      <c r="E18" cm="1">
        <f t="array" ref="E18">E17*(1+4%)</f>
        <v>168568312.115447</v>
      </c>
      <c r="G18" cm="1">
        <f t="array" ref="G18">G17*(1+4%)</f>
        <v>1011287604.47696</v>
      </c>
      <c r="H18">
        <v>1463519403.64877</v>
      </c>
      <c r="K18" cm="1">
        <f t="array" ref="K18">SUM(L18:O18)</f>
        <v>0</v>
      </c>
    </row>
    <row r="19">
      <c r="A19">
        <v>2043</v>
      </c>
      <c r="B19" cm="1">
        <f t="array" ref="B19">SUM(D19:H19)</f>
        <v>3111316063.94503</v>
      </c>
      <c r="C19" cm="1">
        <f t="array" ref="C19">I19+J19</f>
        <v>0</v>
      </c>
      <c r="D19" cm="1">
        <f t="array" ref="D19">D18*(1+4%)</f>
        <v>420746507.040158</v>
      </c>
      <c r="E19" cm="1">
        <f t="array" ref="E19">E18*(1+4%)</f>
        <v>175311044.600065</v>
      </c>
      <c r="G19" cm="1">
        <f t="array" ref="G19">G18*(1+4%)</f>
        <v>1051739108.65604</v>
      </c>
      <c r="H19">
        <v>1463519403.64877</v>
      </c>
      <c r="K19" cm="1">
        <f t="array" ref="K19">SUM(L19:O19)</f>
        <v>0</v>
      </c>
    </row>
    <row r="20">
      <c r="A20">
        <v>2044</v>
      </c>
      <c r="B20" cm="1">
        <f t="array" ref="B20">SUM(D20:H20)</f>
        <v>3177227930.35688</v>
      </c>
      <c r="C20" cm="1">
        <f t="array" ref="C20">I20+J20</f>
        <v>0</v>
      </c>
      <c r="D20" cm="1">
        <f t="array" ref="D20">D19*(1+4%)</f>
        <v>437576367.321764</v>
      </c>
      <c r="E20" cm="1">
        <f t="array" ref="E20">E19*(1+4%)</f>
        <v>182323486.384068</v>
      </c>
      <c r="G20" cm="1">
        <f t="array" ref="G20">G19*(1+4%)</f>
        <v>1093808673.00228</v>
      </c>
      <c r="H20">
        <v>1463519403.64877</v>
      </c>
      <c r="K20" cm="1">
        <f t="array" ref="K20">SUM(L20:O20)</f>
        <v>0</v>
      </c>
    </row>
  </sheetData>
  <pageMargins left="1" right="1" top="1" bottom="1" header="0.25" footer="0.25"/>
  <ignoredErrors>
    <ignoredError numberStoredAsText="1" sqref="A1:O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0"/>
  <sheetViews>
    <sheetView workbookViewId="0" rightToLeft="0"/>
  </sheetViews>
  <sheetData>
    <row r="1">
      <c r="A1" t="str">
        <v>Year</v>
      </c>
      <c r="B1" t="str">
        <v>Total loan</v>
      </c>
      <c r="C1" t="str">
        <v xml:space="preserve">Total interest </v>
      </c>
      <c r="D1" t="str">
        <v>Dài hạn</v>
      </c>
      <c r="E1" t="str">
        <v>Cá nhân</v>
      </c>
      <c r="F1" t="str">
        <v>Lãi dài hạn</v>
      </c>
      <c r="G1" t="str">
        <v>Lãi cá nhân</v>
      </c>
      <c r="H1" t="str">
        <v>Gốc vay dài hạn</v>
      </c>
      <c r="I1" t="str">
        <v>Vay dài hạn BDS</v>
      </c>
      <c r="J1" t="str">
        <v>Luỹ kế vay dài hạn</v>
      </c>
    </row>
    <row r="2">
      <c r="A2">
        <v>2026</v>
      </c>
      <c r="B2" cm="1">
        <f t="array" ref="B2">I2+H2+D2+E2</f>
        <v>-1683278000</v>
      </c>
      <c r="C2" cm="1">
        <f t="array" ref="C2">F2+G2</f>
        <v>-80000000</v>
      </c>
      <c r="D2">
        <v>-1335790000</v>
      </c>
      <c r="E2">
        <v>-347488000</v>
      </c>
      <c r="F2">
        <v>0</v>
      </c>
      <c r="G2">
        <v>-80000000</v>
      </c>
      <c r="J2" cm="1">
        <f t="array" ref="J2">I2+H2</f>
        <v>0</v>
      </c>
    </row>
    <row r="3">
      <c r="A3">
        <v>2027</v>
      </c>
      <c r="B3" cm="1">
        <f t="array" ref="B3">I3+H3+D3+E3</f>
        <v>-1683278000</v>
      </c>
      <c r="C3" cm="1">
        <f t="array" ref="C3">F3+G3</f>
        <v>-220257950</v>
      </c>
      <c r="D3" cm="1">
        <f t="array" ref="D3">D2</f>
        <v>-1335790000</v>
      </c>
      <c r="E3" cm="1">
        <f t="array" ref="E3">E2</f>
        <v>-347488000</v>
      </c>
      <c r="F3" cm="1">
        <f t="array" ref="F3">D2*'Info'!$F$38</f>
        <v>-140257950</v>
      </c>
      <c r="G3" cm="1">
        <f t="array" ref="G3">G2</f>
        <v>-80000000</v>
      </c>
      <c r="H3" cm="1">
        <f t="array" ref="H3">5%*J2</f>
        <v>0</v>
      </c>
      <c r="J3" cm="1">
        <f t="array" ref="J3">J2+I3+H3</f>
        <v>0</v>
      </c>
    </row>
    <row r="4">
      <c r="A4">
        <v>2028</v>
      </c>
      <c r="B4" cm="1">
        <f t="array" ref="B4">I4+H4+D4+E4</f>
        <v>-1683278000</v>
      </c>
      <c r="C4" cm="1">
        <f t="array" ref="C4">F4+G4</f>
        <v>-220257950</v>
      </c>
      <c r="D4" cm="1">
        <f t="array" ref="D4">D3</f>
        <v>-1335790000</v>
      </c>
      <c r="E4" cm="1">
        <f t="array" ref="E4">E3</f>
        <v>-347488000</v>
      </c>
      <c r="F4" cm="1">
        <f t="array" ref="F4">D3*'Info'!$F$38</f>
        <v>-140257950</v>
      </c>
      <c r="G4" cm="1">
        <f t="array" ref="G4">G3</f>
        <v>-80000000</v>
      </c>
      <c r="H4" cm="1">
        <f t="array" ref="H4">5%*J3</f>
        <v>0</v>
      </c>
      <c r="J4" cm="1">
        <f t="array" ref="J4">J3+I4+H4</f>
        <v>0</v>
      </c>
    </row>
    <row r="5">
      <c r="A5">
        <v>2029</v>
      </c>
      <c r="B5" cm="1">
        <f t="array" ref="B5">I5+H5+D5+E5</f>
        <v>-1683278000</v>
      </c>
      <c r="C5" cm="1">
        <f t="array" ref="C5">F5+G5</f>
        <v>-220257950</v>
      </c>
      <c r="D5" cm="1">
        <f t="array" ref="D5">D4</f>
        <v>-1335790000</v>
      </c>
      <c r="E5" cm="1">
        <f t="array" ref="E5">E4</f>
        <v>-347488000</v>
      </c>
      <c r="F5" cm="1">
        <f t="array" ref="F5">D4*'Info'!$F$38</f>
        <v>-140257950</v>
      </c>
      <c r="G5" cm="1">
        <f t="array" ref="G5">G4</f>
        <v>-80000000</v>
      </c>
      <c r="H5" cm="1">
        <f t="array" ref="H5">5%*J4</f>
        <v>0</v>
      </c>
      <c r="J5" cm="1">
        <f t="array" ref="J5">J4+I5+H5</f>
        <v>0</v>
      </c>
    </row>
    <row r="6">
      <c r="A6">
        <v>2030</v>
      </c>
      <c r="B6" cm="1">
        <f t="array" ref="B6">I6+H6+D6+E6</f>
        <v>-1683278000</v>
      </c>
      <c r="C6" cm="1">
        <f t="array" ref="C6">F6+G6</f>
        <v>-220257950</v>
      </c>
      <c r="D6" cm="1">
        <f t="array" ref="D6">D5</f>
        <v>-1335790000</v>
      </c>
      <c r="E6" cm="1">
        <f t="array" ref="E6">E5</f>
        <v>-347488000</v>
      </c>
      <c r="F6" cm="1">
        <f t="array" ref="F6">D5*'Info'!$F$38</f>
        <v>-140257950</v>
      </c>
      <c r="G6" cm="1">
        <f t="array" ref="G6">G5</f>
        <v>-80000000</v>
      </c>
      <c r="H6" cm="1">
        <f t="array" ref="H6">5%*J5</f>
        <v>0</v>
      </c>
      <c r="J6" cm="1">
        <f t="array" ref="J6">J5+I6+H6</f>
        <v>0</v>
      </c>
    </row>
    <row r="7">
      <c r="A7">
        <v>2031</v>
      </c>
      <c r="B7" cm="1">
        <f t="array" ref="B7">I7+H7+D7+E7</f>
        <v>-1683278000</v>
      </c>
      <c r="C7" cm="1">
        <f t="array" ref="C7">F7+G7</f>
        <v>-220257950</v>
      </c>
      <c r="D7" cm="1">
        <f t="array" ref="D7">D6</f>
        <v>-1335790000</v>
      </c>
      <c r="E7" cm="1">
        <f t="array" ref="E7">E6</f>
        <v>-347488000</v>
      </c>
      <c r="F7" cm="1">
        <f t="array" ref="F7">D6*'Info'!$F$38</f>
        <v>-140257950</v>
      </c>
      <c r="G7" cm="1">
        <f t="array" ref="G7">G6</f>
        <v>-80000000</v>
      </c>
      <c r="H7" cm="1">
        <f t="array" ref="H7">5%*J6</f>
        <v>0</v>
      </c>
      <c r="J7" cm="1">
        <f t="array" ref="J7">J6+I7+H7</f>
        <v>0</v>
      </c>
    </row>
    <row r="8">
      <c r="A8">
        <v>2032</v>
      </c>
      <c r="B8" cm="1">
        <f t="array" ref="B8">I8+H8+D8+E8</f>
        <v>-1683278000</v>
      </c>
      <c r="C8" cm="1">
        <f t="array" ref="C8">F8+G8</f>
        <v>-220257950</v>
      </c>
      <c r="D8" cm="1">
        <f t="array" ref="D8">D7</f>
        <v>-1335790000</v>
      </c>
      <c r="E8" cm="1">
        <f t="array" ref="E8">E7</f>
        <v>-347488000</v>
      </c>
      <c r="F8" cm="1">
        <f t="array" ref="F8">D7*'Info'!$F$38</f>
        <v>-140257950</v>
      </c>
      <c r="G8" cm="1">
        <f t="array" ref="G8">G7</f>
        <v>-80000000</v>
      </c>
      <c r="H8" cm="1">
        <f t="array" ref="H8">5%*J7</f>
        <v>0</v>
      </c>
      <c r="J8" cm="1">
        <f t="array" ref="J8">J7+I8+H8</f>
        <v>0</v>
      </c>
    </row>
    <row r="9">
      <c r="A9">
        <v>2033</v>
      </c>
      <c r="B9" cm="1">
        <f t="array" ref="B9">I9+H9+D9+E9</f>
        <v>-1683278000</v>
      </c>
      <c r="C9" cm="1">
        <f t="array" ref="C9">F9+G9</f>
        <v>-220257950</v>
      </c>
      <c r="D9" cm="1">
        <f t="array" ref="D9">D8</f>
        <v>-1335790000</v>
      </c>
      <c r="E9" cm="1">
        <f t="array" ref="E9">E8</f>
        <v>-347488000</v>
      </c>
      <c r="F9" cm="1">
        <f t="array" ref="F9">D8*'Info'!$F$38</f>
        <v>-140257950</v>
      </c>
      <c r="G9" cm="1">
        <f t="array" ref="G9">G8</f>
        <v>-80000000</v>
      </c>
      <c r="H9" cm="1">
        <f t="array" ref="H9">5%*J8</f>
        <v>0</v>
      </c>
      <c r="J9" cm="1">
        <f t="array" ref="J9">J8+I9+H9</f>
        <v>0</v>
      </c>
    </row>
    <row r="10">
      <c r="A10">
        <v>2034</v>
      </c>
      <c r="B10" cm="1">
        <f t="array" ref="B10">I10+H10+D10+E10</f>
        <v>-1683278000</v>
      </c>
      <c r="C10" cm="1">
        <f t="array" ref="C10">F10+G10</f>
        <v>-220257950</v>
      </c>
      <c r="D10" cm="1">
        <f t="array" ref="D10">D9</f>
        <v>-1335790000</v>
      </c>
      <c r="E10" cm="1">
        <f t="array" ref="E10">E9</f>
        <v>-347488000</v>
      </c>
      <c r="F10" cm="1">
        <f t="array" ref="F10">D9*'Info'!$F$38</f>
        <v>-140257950</v>
      </c>
      <c r="G10" cm="1">
        <f t="array" ref="G10">G9</f>
        <v>-80000000</v>
      </c>
      <c r="H10" cm="1">
        <f t="array" ref="H10">5%*J9</f>
        <v>0</v>
      </c>
      <c r="J10" cm="1">
        <f t="array" ref="J10">J9+I10+H10</f>
        <v>0</v>
      </c>
    </row>
    <row r="11">
      <c r="A11">
        <v>2035</v>
      </c>
      <c r="B11" cm="1">
        <f t="array" ref="B11">I11+H11+D11+E11</f>
        <v>-1683278000</v>
      </c>
      <c r="C11" cm="1">
        <f t="array" ref="C11">F11+G11</f>
        <v>-220257950</v>
      </c>
      <c r="D11" cm="1">
        <f t="array" ref="D11">D10</f>
        <v>-1335790000</v>
      </c>
      <c r="E11" cm="1">
        <f t="array" ref="E11">E10</f>
        <v>-347488000</v>
      </c>
      <c r="F11" cm="1">
        <f t="array" ref="F11">D10*'Info'!$F$38</f>
        <v>-140257950</v>
      </c>
      <c r="G11" cm="1">
        <f t="array" ref="G11">G10</f>
        <v>-80000000</v>
      </c>
      <c r="H11" cm="1">
        <f t="array" ref="H11">5%*J10</f>
        <v>0</v>
      </c>
      <c r="J11" cm="1">
        <f t="array" ref="J11">J10+I11+H11</f>
        <v>0</v>
      </c>
    </row>
    <row r="12">
      <c r="A12">
        <v>2036</v>
      </c>
      <c r="B12" cm="1">
        <f t="array" ref="B12">I12+H12+D12+E12</f>
        <v>-1683278000</v>
      </c>
      <c r="C12" cm="1">
        <f t="array" ref="C12">F12+G12</f>
        <v>-220257950</v>
      </c>
      <c r="D12" cm="1">
        <f t="array" ref="D12">D11</f>
        <v>-1335790000</v>
      </c>
      <c r="E12" cm="1">
        <f t="array" ref="E12">E11</f>
        <v>-347488000</v>
      </c>
      <c r="F12" cm="1">
        <f t="array" ref="F12">D11*'Info'!$F$38</f>
        <v>-140257950</v>
      </c>
      <c r="G12" cm="1">
        <f t="array" ref="G12">G11</f>
        <v>-80000000</v>
      </c>
      <c r="H12" cm="1">
        <f t="array" ref="H12">5%*J11</f>
        <v>0</v>
      </c>
      <c r="J12" cm="1">
        <f t="array" ref="J12">J11+I12+H12</f>
        <v>0</v>
      </c>
    </row>
    <row r="13">
      <c r="A13">
        <v>2037</v>
      </c>
      <c r="B13" cm="1">
        <f t="array" ref="B13">I13+H13+D13+E13</f>
        <v>-1683278000</v>
      </c>
      <c r="C13" cm="1">
        <f t="array" ref="C13">F13+G13</f>
        <v>-220257950</v>
      </c>
      <c r="D13" cm="1">
        <f t="array" ref="D13">D12</f>
        <v>-1335790000</v>
      </c>
      <c r="E13" cm="1">
        <f t="array" ref="E13">E12</f>
        <v>-347488000</v>
      </c>
      <c r="F13" cm="1">
        <f t="array" ref="F13">D12*'Info'!$F$38</f>
        <v>-140257950</v>
      </c>
      <c r="G13" cm="1">
        <f t="array" ref="G13">G12</f>
        <v>-80000000</v>
      </c>
      <c r="H13" cm="1">
        <f t="array" ref="H13">5%*J12</f>
        <v>0</v>
      </c>
      <c r="J13" cm="1">
        <f t="array" ref="J13">J12+I13+H13</f>
        <v>0</v>
      </c>
    </row>
    <row r="14">
      <c r="A14">
        <v>2038</v>
      </c>
      <c r="B14" cm="1">
        <f t="array" ref="B14">I14+H14+D14+E14</f>
        <v>-1683278000</v>
      </c>
      <c r="C14" cm="1">
        <f t="array" ref="C14">F14+G14</f>
        <v>-220257950</v>
      </c>
      <c r="D14" cm="1">
        <f t="array" ref="D14">D13</f>
        <v>-1335790000</v>
      </c>
      <c r="E14" cm="1">
        <f t="array" ref="E14">E13</f>
        <v>-347488000</v>
      </c>
      <c r="F14" cm="1">
        <f t="array" ref="F14">D13*'Info'!$F$38</f>
        <v>-140257950</v>
      </c>
      <c r="G14" cm="1">
        <f t="array" ref="G14">G13</f>
        <v>-80000000</v>
      </c>
      <c r="H14" cm="1">
        <f t="array" ref="H14">5%*J13</f>
        <v>0</v>
      </c>
      <c r="J14" cm="1">
        <f t="array" ref="J14">J13+I14+H14</f>
        <v>0</v>
      </c>
    </row>
    <row r="15">
      <c r="A15">
        <v>2039</v>
      </c>
      <c r="B15" cm="1">
        <f t="array" ref="B15">I15+H15+D15+E15</f>
        <v>-1683278000</v>
      </c>
      <c r="C15" cm="1">
        <f t="array" ref="C15">F15+G15</f>
        <v>-220257950</v>
      </c>
      <c r="D15" cm="1">
        <f t="array" ref="D15">D14</f>
        <v>-1335790000</v>
      </c>
      <c r="E15" cm="1">
        <f t="array" ref="E15">E14</f>
        <v>-347488000</v>
      </c>
      <c r="F15" cm="1">
        <f t="array" ref="F15">D14*'Info'!$F$38</f>
        <v>-140257950</v>
      </c>
      <c r="G15" cm="1">
        <f t="array" ref="G15">G14</f>
        <v>-80000000</v>
      </c>
      <c r="H15" cm="1">
        <f t="array" ref="H15">5%*J14</f>
        <v>0</v>
      </c>
      <c r="J15" cm="1">
        <f t="array" ref="J15">J14+I15+H15</f>
        <v>0</v>
      </c>
    </row>
    <row r="16">
      <c r="A16">
        <v>2040</v>
      </c>
      <c r="B16" cm="1">
        <f t="array" ref="B16">I16+H16+D16+E16</f>
        <v>-1683278000</v>
      </c>
      <c r="C16" cm="1">
        <f t="array" ref="C16">F16+G16</f>
        <v>-220257950</v>
      </c>
      <c r="D16" cm="1">
        <f t="array" ref="D16">D15</f>
        <v>-1335790000</v>
      </c>
      <c r="E16" cm="1">
        <f t="array" ref="E16">E15</f>
        <v>-347488000</v>
      </c>
      <c r="F16" cm="1">
        <f t="array" ref="F16">D15*'Info'!$F$38</f>
        <v>-140257950</v>
      </c>
      <c r="G16" cm="1">
        <f t="array" ref="G16">G15</f>
        <v>-80000000</v>
      </c>
      <c r="H16" cm="1">
        <f t="array" ref="H16">5%*J15</f>
        <v>0</v>
      </c>
      <c r="J16" cm="1">
        <f t="array" ref="J16">J15+I16+H16</f>
        <v>0</v>
      </c>
    </row>
    <row r="17">
      <c r="A17">
        <v>2041</v>
      </c>
      <c r="B17" cm="1">
        <f t="array" ref="B17">I17+H17+D17+E17</f>
        <v>-1683278000</v>
      </c>
      <c r="C17" cm="1">
        <f t="array" ref="C17">F17+G17</f>
        <v>-220257950</v>
      </c>
      <c r="D17" cm="1">
        <f t="array" ref="D17">D16</f>
        <v>-1335790000</v>
      </c>
      <c r="E17" cm="1">
        <f t="array" ref="E17">E16</f>
        <v>-347488000</v>
      </c>
      <c r="F17" cm="1">
        <f t="array" ref="F17">D16*'Info'!$F$38</f>
        <v>-140257950</v>
      </c>
      <c r="G17" cm="1">
        <f t="array" ref="G17">G16</f>
        <v>-80000000</v>
      </c>
      <c r="H17" cm="1">
        <f t="array" ref="H17">5%*J16</f>
        <v>0</v>
      </c>
      <c r="J17" cm="1">
        <f t="array" ref="J17">J16+I17+H17</f>
        <v>0</v>
      </c>
    </row>
    <row r="18">
      <c r="A18">
        <v>2042</v>
      </c>
      <c r="B18" cm="1">
        <f t="array" ref="B18">I18+H18+D18+E18</f>
        <v>-1683278000</v>
      </c>
      <c r="C18" cm="1">
        <f t="array" ref="C18">F18+G18</f>
        <v>-220257950</v>
      </c>
      <c r="D18" cm="1">
        <f t="array" ref="D18">D17</f>
        <v>-1335790000</v>
      </c>
      <c r="E18" cm="1">
        <f t="array" ref="E18">E17</f>
        <v>-347488000</v>
      </c>
      <c r="F18" cm="1">
        <f t="array" ref="F18">D17*'Info'!$F$38</f>
        <v>-140257950</v>
      </c>
      <c r="G18" cm="1">
        <f t="array" ref="G18">G17</f>
        <v>-80000000</v>
      </c>
      <c r="H18" cm="1">
        <f t="array" ref="H18">5%*J17</f>
        <v>0</v>
      </c>
      <c r="J18" cm="1">
        <f t="array" ref="J18">J17+I18+H18</f>
        <v>0</v>
      </c>
    </row>
    <row r="19">
      <c r="A19">
        <v>2043</v>
      </c>
      <c r="B19" cm="1">
        <f t="array" ref="B19">I19+H19+D19+E19</f>
        <v>-1683278000</v>
      </c>
      <c r="C19" cm="1">
        <f t="array" ref="C19">F19+G19</f>
        <v>-220257950</v>
      </c>
      <c r="D19" cm="1">
        <f t="array" ref="D19">D18</f>
        <v>-1335790000</v>
      </c>
      <c r="E19" cm="1">
        <f t="array" ref="E19">E18</f>
        <v>-347488000</v>
      </c>
      <c r="F19" cm="1">
        <f t="array" ref="F19">D18*'Info'!$F$38</f>
        <v>-140257950</v>
      </c>
      <c r="G19" cm="1">
        <f t="array" ref="G19">G18</f>
        <v>-80000000</v>
      </c>
      <c r="H19" cm="1">
        <f t="array" ref="H19">5%*J18</f>
        <v>0</v>
      </c>
      <c r="J19" cm="1">
        <f t="array" ref="J19">J18+I19+H19</f>
        <v>0</v>
      </c>
    </row>
    <row r="20">
      <c r="A20">
        <v>2044</v>
      </c>
      <c r="B20" cm="1">
        <f t="array" ref="B20">I20+H20+D20+E20</f>
        <v>-1683278000</v>
      </c>
      <c r="C20" cm="1">
        <f t="array" ref="C20">F20+G20</f>
        <v>-220257950</v>
      </c>
      <c r="D20" cm="1">
        <f t="array" ref="D20">D19</f>
        <v>-1335790000</v>
      </c>
      <c r="E20" cm="1">
        <f t="array" ref="E20">E19</f>
        <v>-347488000</v>
      </c>
      <c r="F20" cm="1">
        <f t="array" ref="F20">D19*'Info'!$F$38</f>
        <v>-140257950</v>
      </c>
      <c r="G20" cm="1">
        <f t="array" ref="G20">G19</f>
        <v>-80000000</v>
      </c>
      <c r="H20" cm="1">
        <f t="array" ref="H20">5%*J19</f>
        <v>0</v>
      </c>
      <c r="J20" cm="1">
        <f t="array" ref="J20">J19+I20+H20</f>
        <v>0</v>
      </c>
    </row>
  </sheetData>
  <pageMargins left="1" right="1" top="1" bottom="1" header="0.25" footer="0.25"/>
  <ignoredErrors>
    <ignoredError numberStoredAsText="1" sqref="A1:J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20"/>
  <sheetViews>
    <sheetView workbookViewId="0" rightToLeft="0"/>
  </sheetViews>
  <sheetData>
    <row r="1">
      <c r="A1" t="str">
        <v>Year</v>
      </c>
      <c r="B1" t="str">
        <v>Cash đầu năm</v>
      </c>
      <c r="C1" t="str">
        <v>cash lợi nhuận</v>
      </c>
      <c r="D1" t="str">
        <v>cash cuối năm</v>
      </c>
      <c r="E1" t="str">
        <v>Vàng đầu năm</v>
      </c>
      <c r="F1" t="str">
        <v>vàng lợi nhuận</v>
      </c>
      <c r="G1" t="str">
        <v>vàng cuối năm</v>
      </c>
      <c r="H1" t="str">
        <v>Stock đầu năm</v>
      </c>
      <c r="I1" t="str">
        <v>stock lợi nhuận</v>
      </c>
      <c r="J1" t="str">
        <v>stock cuối năm</v>
      </c>
      <c r="K1" t="str">
        <v>CCQ đầu năm</v>
      </c>
      <c r="L1" t="str">
        <v>ccq lợi nhuận</v>
      </c>
      <c r="M1" t="str">
        <v>ccq cuối năm</v>
      </c>
      <c r="N1" t="str">
        <v>Crypto đầu năm</v>
      </c>
      <c r="O1" t="str">
        <v>crypto lợi nhuận</v>
      </c>
      <c r="P1" t="str">
        <v>crypto cuối năm</v>
      </c>
    </row>
    <row r="2">
      <c r="A2">
        <v>2026</v>
      </c>
      <c r="B2" cm="1">
        <f t="array" ref="B2">1220000000+'Cashflow'!D2</f>
        <v>1000000000</v>
      </c>
      <c r="C2" cm="1">
        <f t="array" ref="C2">B2*'Info'!$F$31</f>
        <v>65000000</v>
      </c>
      <c r="D2" cm="1">
        <f t="array" ref="D2">B2+C2</f>
        <v>1065000000</v>
      </c>
      <c r="E2" cm="1">
        <f t="array" ref="E2">1497440000+'Cashflow'!K2</f>
        <v>2771609000</v>
      </c>
      <c r="F2" cm="1">
        <f t="array" ref="F2">(E2)*'Info'!$F$33</f>
        <v>221728720</v>
      </c>
      <c r="G2" cm="1">
        <f t="array" ref="G2">E2+F2</f>
        <v>2993337720</v>
      </c>
      <c r="H2" cm="1">
        <f t="array" ref="H2">2114622000+'Cashflow'!N2</f>
        <v>5937129000</v>
      </c>
      <c r="I2" cm="1">
        <f t="array" ref="I2">H2*'Info'!$F$43</f>
        <v>890569350</v>
      </c>
      <c r="J2" cm="1">
        <f t="array" ref="J2">H2+I2</f>
        <v>6827698350</v>
      </c>
      <c r="K2" cm="1">
        <f t="array" ref="K2">424726000+'Cashflow'!M2</f>
        <v>1061810500</v>
      </c>
      <c r="L2" cm="1">
        <f t="array" ref="L2">K2*'Info'!$F$40</f>
        <v>95562945</v>
      </c>
      <c r="M2" cm="1">
        <f t="array" ref="M2">L2+K2</f>
        <v>1157373445</v>
      </c>
      <c r="N2" cm="1">
        <f t="array" ref="N2">278175000+'Cashflow'!L2</f>
        <v>915259500</v>
      </c>
      <c r="O2" cm="1">
        <f t="array" ref="O2">(N2)*'Info'!$F$39</f>
        <v>137288925</v>
      </c>
      <c r="P2" cm="1">
        <f t="array" ref="P2">N2+O2</f>
        <v>1052548425</v>
      </c>
    </row>
    <row r="3">
      <c r="A3">
        <v>2027</v>
      </c>
      <c r="B3" cm="1">
        <f t="array" ref="B3">D2+'Cashflow'!D3</f>
        <v>1065000000</v>
      </c>
      <c r="C3" cm="1">
        <f t="array" ref="C3">B3*'Info'!$F$31</f>
        <v>69225000</v>
      </c>
      <c r="D3" cm="1">
        <f t="array" ref="D3">B3+C3</f>
        <v>1134225000</v>
      </c>
      <c r="E3" cm="1">
        <f t="array" ref="E3">G2+'Cashflow'!K3</f>
        <v>3098816633.74721</v>
      </c>
      <c r="F3" cm="1">
        <f t="array" ref="F3">(E3)*'Info'!$F$33</f>
        <v>247905330.699777</v>
      </c>
      <c r="G3" cm="1">
        <f t="array" ref="G3">E3+F3</f>
        <v>3346721964.44699</v>
      </c>
      <c r="H3" cm="1">
        <f t="array" ref="H3">J2+'Cashflow'!N3</f>
        <v>7144135091.24164</v>
      </c>
      <c r="I3" cm="1">
        <f t="array" ref="I3">H3*'Info'!$F$43</f>
        <v>1071620263.68625</v>
      </c>
      <c r="J3" cm="1">
        <f t="array" ref="J3">H3+I3</f>
        <v>8215755354.92789</v>
      </c>
      <c r="K3" cm="1">
        <f t="array" ref="K3">M2+'Cashflow'!M3</f>
        <v>1210112901.87361</v>
      </c>
      <c r="L3" cm="1">
        <f t="array" ref="L3">K3*'Info'!$F$40</f>
        <v>108910161.168625</v>
      </c>
      <c r="M3" cm="1">
        <f t="array" ref="M3">L3+K3</f>
        <v>1319023063.04224</v>
      </c>
      <c r="N3" cm="1">
        <f t="array" ref="N3">P2+'Cashflow'!L3</f>
        <v>1105287881.87361</v>
      </c>
      <c r="O3" cm="1">
        <f t="array" ref="O3">(N3)*'Info'!$F$39</f>
        <v>165793182.281042</v>
      </c>
      <c r="P3" cm="1">
        <f t="array" ref="P3">N3+O3</f>
        <v>1271081064.15465</v>
      </c>
    </row>
    <row r="4">
      <c r="A4">
        <v>2028</v>
      </c>
      <c r="B4" cm="1">
        <f t="array" ref="B4">D3+'Cashflow'!D4</f>
        <v>1134225000</v>
      </c>
      <c r="C4" cm="1">
        <f t="array" ref="C4">B4*'Info'!$F$31</f>
        <v>73724625</v>
      </c>
      <c r="D4" cm="1">
        <f t="array" ref="D4">B4+C4</f>
        <v>1207949625</v>
      </c>
      <c r="E4" cm="1">
        <f t="array" ref="E4">G3+'Cashflow'!K4</f>
        <v>3426192257.1036</v>
      </c>
      <c r="F4" cm="1">
        <f t="array" ref="F4">(E4)*'Info'!$F$33</f>
        <v>274095380.568288</v>
      </c>
      <c r="G4" cm="1">
        <f t="array" ref="G4">E4+F4</f>
        <v>3700287637.67189</v>
      </c>
      <c r="H4" cm="1">
        <f t="array" ref="H4">J3+'Cashflow'!N4</f>
        <v>8454166232.89772</v>
      </c>
      <c r="I4" cm="1">
        <f t="array" ref="I4">H4*'Info'!$F$43</f>
        <v>1268124934.93466</v>
      </c>
      <c r="J4" cm="1">
        <f t="array" ref="J4">H4+I4</f>
        <v>9722291167.83238</v>
      </c>
      <c r="K4" cm="1">
        <f t="array" ref="K4">M3+'Cashflow'!M4</f>
        <v>1358758209.37055</v>
      </c>
      <c r="L4" cm="1">
        <f t="array" ref="L4">K4*'Info'!$F$40</f>
        <v>122288238.84335</v>
      </c>
      <c r="M4" cm="1">
        <f t="array" ref="M4">L4+K4</f>
        <v>1481046448.2139</v>
      </c>
      <c r="N4" cm="1">
        <f t="array" ref="N4">P3+'Cashflow'!L4</f>
        <v>1310816210.48296</v>
      </c>
      <c r="O4" cm="1">
        <f t="array" ref="O4">(N4)*'Info'!$F$39</f>
        <v>196622431.572444</v>
      </c>
      <c r="P4" cm="1">
        <f t="array" ref="P4">N4+O4</f>
        <v>1507438642.0554</v>
      </c>
    </row>
    <row r="5">
      <c r="A5">
        <v>2029</v>
      </c>
      <c r="B5" cm="1">
        <f t="array" ref="B5">D4+'Cashflow'!D5</f>
        <v>1207949625</v>
      </c>
      <c r="C5" cm="1">
        <f t="array" ref="C5">B5*'Info'!$F$31</f>
        <v>78516725.625</v>
      </c>
      <c r="D5" cm="1">
        <f t="array" ref="D5">B5+C5</f>
        <v>1286466350.625</v>
      </c>
      <c r="E5" cm="1">
        <f t="array" ref="E5">G4+'Cashflow'!K5</f>
        <v>3788669308.97102</v>
      </c>
      <c r="F5" cm="1">
        <f t="array" ref="F5">(E5)*'Info'!$F$33</f>
        <v>303093544.717682</v>
      </c>
      <c r="G5" cm="1">
        <f t="array" ref="G5">E5+F5</f>
        <v>4091762853.6887</v>
      </c>
      <c r="H5" cm="1">
        <f t="array" ref="H5">J4+'Cashflow'!N5</f>
        <v>9987436181.72976</v>
      </c>
      <c r="I5" cm="1">
        <f t="array" ref="I5">H5*'Info'!$F$43</f>
        <v>1498115427.25946</v>
      </c>
      <c r="J5" cm="1">
        <f t="array" ref="J5">H5+I5</f>
        <v>11485551608.9892</v>
      </c>
      <c r="K5" cm="1">
        <f t="array" ref="K5">M4+'Cashflow'!M5</f>
        <v>1525237283.86346</v>
      </c>
      <c r="L5" cm="1">
        <f t="array" ref="L5">K5*'Info'!$F$40</f>
        <v>137271355.547711</v>
      </c>
      <c r="M5" cm="1">
        <f t="array" ref="M5">L5+K5</f>
        <v>1662508639.41117</v>
      </c>
      <c r="N5" cm="1">
        <f t="array" ref="N5">P4+'Cashflow'!L5</f>
        <v>1551629477.70496</v>
      </c>
      <c r="O5" cm="1">
        <f t="array" ref="O5">(N5)*'Info'!$F$39</f>
        <v>232744421.655744</v>
      </c>
      <c r="P5" cm="1">
        <f t="array" ref="P5">N5+O5</f>
        <v>1784373899.3607</v>
      </c>
    </row>
    <row r="6">
      <c r="A6">
        <v>2030</v>
      </c>
      <c r="B6" cm="1">
        <f t="array" ref="B6">D5+'Cashflow'!D6</f>
        <v>1286466350.625</v>
      </c>
      <c r="C6" cm="1">
        <f t="array" ref="C6">B6*'Info'!$F$31</f>
        <v>83620312.790625</v>
      </c>
      <c r="D6" cm="1">
        <f t="array" ref="D6">B6+C6</f>
        <v>1370086663.41563</v>
      </c>
      <c r="E6" cm="1">
        <f t="array" ref="E6">G5+'Cashflow'!K6</f>
        <v>4187478846.76675</v>
      </c>
      <c r="F6" cm="1">
        <f t="array" ref="F6">(E6)*'Info'!$F$33</f>
        <v>334998307.74134</v>
      </c>
      <c r="G6" cm="1">
        <f t="array" ref="G6">E6+F6</f>
        <v>4522477154.50809</v>
      </c>
      <c r="H6" cm="1">
        <f t="array" ref="H6">J5+'Cashflow'!N6</f>
        <v>11772699588.2234</v>
      </c>
      <c r="I6" cm="1">
        <f t="array" ref="I6">H6*'Info'!$F$43</f>
        <v>1765904938.23351</v>
      </c>
      <c r="J6" cm="1">
        <f t="array" ref="J6">H6+I6</f>
        <v>13538604526.4569</v>
      </c>
      <c r="K6" cm="1">
        <f t="array" ref="K6">M5+'Cashflow'!M6</f>
        <v>1710366635.9502</v>
      </c>
      <c r="L6" cm="1">
        <f t="array" ref="L6">K6*'Info'!$F$40</f>
        <v>153932997.235518</v>
      </c>
      <c r="M6" cm="1">
        <f t="array" ref="M6">L6+K6</f>
        <v>1864299633.18572</v>
      </c>
      <c r="N6" cm="1">
        <f t="array" ref="N6">P5+'Cashflow'!L6</f>
        <v>1832231895.89973</v>
      </c>
      <c r="O6" cm="1">
        <f t="array" ref="O6">(N6)*'Info'!$F$39</f>
        <v>274834784.38496</v>
      </c>
      <c r="P6" cm="1">
        <f t="array" ref="P6">N6+O6</f>
        <v>2107066680.28469</v>
      </c>
    </row>
    <row r="7">
      <c r="A7">
        <v>2031</v>
      </c>
      <c r="B7" cm="1">
        <f t="array" ref="B7">D6+'Cashflow'!D7</f>
        <v>1370086663.41563</v>
      </c>
      <c r="C7" cm="1">
        <f t="array" ref="C7">B7*'Info'!$F$31</f>
        <v>89055633.122016</v>
      </c>
      <c r="D7" cm="1">
        <f t="array" ref="D7">B7+C7</f>
        <v>1459142296.53765</v>
      </c>
      <c r="E7" cm="1">
        <f t="array" ref="E7">G6+'Cashflow'!K7</f>
        <v>4632719197.54263</v>
      </c>
      <c r="F7" cm="1">
        <f t="array" ref="F7">(E7)*'Info'!$F$33</f>
        <v>370617535.80341</v>
      </c>
      <c r="G7" cm="1">
        <f t="array" ref="G7">E7+F7</f>
        <v>5003336733.34604</v>
      </c>
      <c r="H7" cm="1">
        <f t="array" ref="H7">J6+'Cashflow'!N7</f>
        <v>13869330655.5605</v>
      </c>
      <c r="I7" cm="1">
        <f t="array" ref="I7">H7*'Info'!$F$43</f>
        <v>2080399598.33408</v>
      </c>
      <c r="J7" cm="1">
        <f t="array" ref="J7">H7+I7</f>
        <v>15949730253.8946</v>
      </c>
      <c r="K7" cm="1">
        <f t="array" ref="K7">M6+'Cashflow'!M7</f>
        <v>1919420654.70299</v>
      </c>
      <c r="L7" cm="1">
        <f t="array" ref="L7">K7*'Info'!$F$40</f>
        <v>172747858.923269</v>
      </c>
      <c r="M7" cm="1">
        <f t="array" ref="M7">L7+K7</f>
        <v>2092168513.62626</v>
      </c>
      <c r="N7" cm="1">
        <f t="array" ref="N7">P6+'Cashflow'!L7</f>
        <v>2162187701.80196</v>
      </c>
      <c r="O7" cm="1">
        <f t="array" ref="O7">(N7)*'Info'!$F$39</f>
        <v>324328155.270294</v>
      </c>
      <c r="P7" cm="1">
        <f t="array" ref="P7">N7+O7</f>
        <v>2486515857.07225</v>
      </c>
    </row>
    <row r="8">
      <c r="A8">
        <v>2032</v>
      </c>
      <c r="B8" cm="1">
        <f t="array" ref="B8">D7+'Cashflow'!D8</f>
        <v>1459142296.53765</v>
      </c>
      <c r="C8" cm="1">
        <f t="array" ref="C8">B8*'Info'!$F$31</f>
        <v>94844249.2749473</v>
      </c>
      <c r="D8" cm="1">
        <f t="array" ref="D8">B8+C8</f>
        <v>1553986545.8126</v>
      </c>
      <c r="E8" cm="1">
        <f t="array" ref="E8">G7+'Cashflow'!K8</f>
        <v>5115953873.91672</v>
      </c>
      <c r="F8" cm="1">
        <f t="array" ref="F8">(E8)*'Info'!$F$33</f>
        <v>409276309.913338</v>
      </c>
      <c r="G8" cm="1">
        <f t="array" ref="G8">E8+F8</f>
        <v>5525230183.83006</v>
      </c>
      <c r="H8" cm="1">
        <f t="array" ref="H8">J7+'Cashflow'!N8</f>
        <v>16287581675.6067</v>
      </c>
      <c r="I8" cm="1">
        <f t="array" ref="I8">H8*'Info'!$F$43</f>
        <v>2443137251.34101</v>
      </c>
      <c r="J8" cm="1">
        <f t="array" ref="J8">H8+I8</f>
        <v>18730718926.9477</v>
      </c>
      <c r="K8" cm="1">
        <f t="array" ref="K8">M7+'Cashflow'!M8</f>
        <v>2148477083.9116</v>
      </c>
      <c r="L8" cm="1">
        <f t="array" ref="L8">K8*'Info'!$F$40</f>
        <v>193362937.552044</v>
      </c>
      <c r="M8" cm="1">
        <f t="array" ref="M8">L8+K8</f>
        <v>2341840021.46364</v>
      </c>
      <c r="N8" cm="1">
        <f t="array" ref="N8">P7+'Cashflow'!L8</f>
        <v>2542824427.35759</v>
      </c>
      <c r="O8" cm="1">
        <f t="array" ref="O8">(N8)*'Info'!$F$39</f>
        <v>381423664.103639</v>
      </c>
      <c r="P8" cm="1">
        <f t="array" ref="P8">N8+O8</f>
        <v>2924248091.46123</v>
      </c>
    </row>
    <row r="9">
      <c r="A9">
        <v>2033</v>
      </c>
      <c r="B9" cm="1">
        <f t="array" ref="B9">D8+'Cashflow'!D9</f>
        <v>1553986545.8126</v>
      </c>
      <c r="C9" cm="1">
        <f t="array" ref="C9">B9*'Info'!$F$31</f>
        <v>101009125.477819</v>
      </c>
      <c r="D9" cm="1">
        <f t="array" ref="D9">B9+C9</f>
        <v>1654995671.29042</v>
      </c>
      <c r="E9" cm="1">
        <f t="array" ref="E9">G8+'Cashflow'!K9</f>
        <v>5640317425.83833</v>
      </c>
      <c r="F9" cm="1">
        <f t="array" ref="F9">(E9)*'Info'!$F$33</f>
        <v>451225394.067066</v>
      </c>
      <c r="G9" cm="1">
        <f t="array" ref="G9">E9+F9</f>
        <v>6091542819.9054</v>
      </c>
      <c r="H9" cm="1">
        <f t="array" ref="H9">J8+'Cashflow'!N9</f>
        <v>19075980652.9725</v>
      </c>
      <c r="I9" cm="1">
        <f t="array" ref="I9">H9*'Info'!$F$43</f>
        <v>2861397097.94588</v>
      </c>
      <c r="J9" cm="1">
        <f t="array" ref="J9">H9+I9</f>
        <v>21937377750.9184</v>
      </c>
      <c r="K9" cm="1">
        <f t="array" ref="K9">M8+'Cashflow'!M9</f>
        <v>2399383642.46778</v>
      </c>
      <c r="L9" cm="1">
        <f t="array" ref="L9">K9*'Info'!$F$40</f>
        <v>215944527.8221</v>
      </c>
      <c r="M9" cm="1">
        <f t="array" ref="M9">L9+K9</f>
        <v>2615328170.28988</v>
      </c>
      <c r="N9" cm="1">
        <f t="array" ref="N9">P8+'Cashflow'!L9</f>
        <v>2981791712.46537</v>
      </c>
      <c r="O9" cm="1">
        <f t="array" ref="O9">(N9)*'Info'!$F$39</f>
        <v>447268756.869806</v>
      </c>
      <c r="P9" cm="1">
        <f t="array" ref="P9">N9+O9</f>
        <v>3429060469.33518</v>
      </c>
    </row>
    <row r="10">
      <c r="A10">
        <v>2034</v>
      </c>
      <c r="B10" cm="1">
        <f t="array" ref="B10">D9+'Cashflow'!D10</f>
        <v>1654995671.29042</v>
      </c>
      <c r="C10" cm="1">
        <f t="array" ref="C10">B10*'Info'!$F$31</f>
        <v>107574718.633877</v>
      </c>
      <c r="D10" cm="1">
        <f t="array" ref="D10">B10+C10</f>
        <v>1762570389.9243</v>
      </c>
      <c r="E10" cm="1">
        <f t="array" ref="E10">G9+'Cashflow'!K10</f>
        <v>6209198967.40877</v>
      </c>
      <c r="F10" cm="1">
        <f t="array" ref="F10">(E10)*'Info'!$F$33</f>
        <v>496735917.392702</v>
      </c>
      <c r="G10" cm="1">
        <f t="array" ref="G10">E10+F10</f>
        <v>6705934884.80147</v>
      </c>
      <c r="H10" cm="1">
        <f t="array" ref="H10">J9+'Cashflow'!N10</f>
        <v>22290346193.4285</v>
      </c>
      <c r="I10" cm="1">
        <f t="array" ref="I10">H10*'Info'!$F$43</f>
        <v>3343551929.01428</v>
      </c>
      <c r="J10" cm="1">
        <f t="array" ref="J10">H10+I10</f>
        <v>25633898122.4428</v>
      </c>
      <c r="K10" cm="1">
        <f t="array" ref="K10">M9+'Cashflow'!M10</f>
        <v>2674156244.04156</v>
      </c>
      <c r="L10" cm="1">
        <f t="array" ref="L10">K10*'Info'!$F$40</f>
        <v>240674061.96374</v>
      </c>
      <c r="M10" cm="1">
        <f t="array" ref="M10">L10+K10</f>
        <v>2914830306.0053</v>
      </c>
      <c r="N10" cm="1">
        <f t="array" ref="N10">P9+'Cashflow'!L10</f>
        <v>3487888543.08686</v>
      </c>
      <c r="O10" cm="1">
        <f t="array" ref="O10">(N10)*'Info'!$F$39</f>
        <v>523183281.463029</v>
      </c>
      <c r="P10" cm="1">
        <f t="array" ref="P10">N10+O10</f>
        <v>4011071824.54989</v>
      </c>
    </row>
    <row r="11">
      <c r="A11">
        <v>2035</v>
      </c>
      <c r="B11" cm="1">
        <f t="array" ref="B11">D10+'Cashflow'!D11</f>
        <v>1762570389.9243</v>
      </c>
      <c r="C11" cm="1">
        <f t="array" ref="C11">B11*'Info'!$F$31</f>
        <v>114567075.34508</v>
      </c>
      <c r="D11" cm="1">
        <f t="array" ref="D11">B11+C11</f>
        <v>1877137465.26938</v>
      </c>
      <c r="E11" cm="1">
        <f t="array" ref="E11">G10+'Cashflow'!K11</f>
        <v>6826262694.01973</v>
      </c>
      <c r="F11" cm="1">
        <f t="array" ref="F11">(E11)*'Info'!$F$33</f>
        <v>546101015.521578</v>
      </c>
      <c r="G11" cm="1">
        <f t="array" ref="G11">E11+F11</f>
        <v>7372363709.54131</v>
      </c>
      <c r="H11" cm="1">
        <f t="array" ref="H11">J10+'Cashflow'!N11</f>
        <v>25994881550.0976</v>
      </c>
      <c r="I11" cm="1">
        <f t="array" ref="I11">H11*'Info'!$F$43</f>
        <v>3899232232.51464</v>
      </c>
      <c r="J11" cm="1">
        <f t="array" ref="J11">H11+I11</f>
        <v>29894113782.6122</v>
      </c>
      <c r="K11" cm="1">
        <f t="array" ref="K11">M10+'Cashflow'!M11</f>
        <v>2974994210.61443</v>
      </c>
      <c r="L11" cm="1">
        <f t="array" ref="L11">K11*'Info'!$F$40</f>
        <v>267749478.955299</v>
      </c>
      <c r="M11" cm="1">
        <f t="array" ref="M11">L11+K11</f>
        <v>3242743689.56973</v>
      </c>
      <c r="N11" cm="1">
        <f t="array" ref="N11">P10+'Cashflow'!L11</f>
        <v>4071235729.15902</v>
      </c>
      <c r="O11" cm="1">
        <f t="array" ref="O11">(N11)*'Info'!$F$39</f>
        <v>610685359.373853</v>
      </c>
      <c r="P11" cm="1">
        <f t="array" ref="P11">N11+O11</f>
        <v>4681921088.53287</v>
      </c>
    </row>
    <row r="12">
      <c r="A12">
        <v>2036</v>
      </c>
      <c r="B12" cm="1">
        <f t="array" ref="B12">D11+'Cashflow'!D12</f>
        <v>1877137465.26938</v>
      </c>
      <c r="C12" cm="1">
        <f t="array" ref="C12">B12*'Info'!$F$31</f>
        <v>122013935.24251</v>
      </c>
      <c r="D12" cm="1">
        <f t="array" ref="D12">B12+C12</f>
        <v>1999151400.51189</v>
      </c>
      <c r="E12" cm="1">
        <f t="array" ref="E12">G11+'Cashflow'!K12</f>
        <v>7495470046.94307</v>
      </c>
      <c r="F12" cm="1">
        <f t="array" ref="F12">(E12)*'Info'!$F$33</f>
        <v>599637603.755446</v>
      </c>
      <c r="G12" cm="1">
        <f t="array" ref="G12">E12+F12</f>
        <v>8095107650.69852</v>
      </c>
      <c r="H12" cm="1">
        <f t="array" ref="H12">J11+'Cashflow'!N12</f>
        <v>30263432794.8175</v>
      </c>
      <c r="I12" cm="1">
        <f t="array" ref="I12">H12*'Info'!$F$43</f>
        <v>4539514919.22263</v>
      </c>
      <c r="J12" cm="1">
        <f t="array" ref="J12">H12+I12</f>
        <v>34802947714.0401</v>
      </c>
      <c r="K12" cm="1">
        <f t="array" ref="K12">M11+'Cashflow'!M12</f>
        <v>3304296858.27061</v>
      </c>
      <c r="L12" cm="1">
        <f t="array" ref="L12">K12*'Info'!$F$40</f>
        <v>297386717.244355</v>
      </c>
      <c r="M12" cm="1">
        <f t="array" ref="M12">L12+K12</f>
        <v>3601683575.51497</v>
      </c>
      <c r="N12" cm="1">
        <f t="array" ref="N12">P11+'Cashflow'!L12</f>
        <v>4743474257.23375</v>
      </c>
      <c r="O12" cm="1">
        <f t="array" ref="O12">(N12)*'Info'!$F$39</f>
        <v>711521138.585063</v>
      </c>
      <c r="P12" cm="1">
        <f t="array" ref="P12">N12+O12</f>
        <v>5454995395.81881</v>
      </c>
    </row>
    <row r="13">
      <c r="A13">
        <v>2037</v>
      </c>
      <c r="B13" cm="1">
        <f t="array" ref="B13">D12+'Cashflow'!D13</f>
        <v>1999151400.51189</v>
      </c>
      <c r="C13" cm="1">
        <f t="array" ref="C13">B13*'Info'!$F$31</f>
        <v>129944841.033273</v>
      </c>
      <c r="D13" cm="1">
        <f t="array" ref="D13">B13+C13</f>
        <v>2129096241.54516</v>
      </c>
      <c r="E13" cm="1">
        <f t="array" ref="E13">G12+'Cashflow'!K13</f>
        <v>8221103657.41111</v>
      </c>
      <c r="F13" cm="1">
        <f t="array" ref="F13">(E13)*'Info'!$F$33</f>
        <v>657688292.592889</v>
      </c>
      <c r="G13" cm="1">
        <f t="array" ref="G13">E13+F13</f>
        <v>8878791950.004</v>
      </c>
      <c r="H13" cm="1">
        <f t="array" ref="H13">J12+'Cashflow'!N13</f>
        <v>35180935734.1779</v>
      </c>
      <c r="I13" cm="1">
        <f t="array" ref="I13">H13*'Info'!$F$43</f>
        <v>5277140360.12669</v>
      </c>
      <c r="J13" cm="1">
        <f t="array" ref="J13">H13+I13</f>
        <v>40458076094.3046</v>
      </c>
      <c r="K13" cm="1">
        <f t="array" ref="K13">M12+'Cashflow'!M13</f>
        <v>3664681578.87126</v>
      </c>
      <c r="L13" cm="1">
        <f t="array" ref="L13">K13*'Info'!$F$40</f>
        <v>329821342.098413</v>
      </c>
      <c r="M13" cm="1">
        <f t="array" ref="M13">L13+K13</f>
        <v>3994502920.96967</v>
      </c>
      <c r="N13" cm="1">
        <f t="array" ref="N13">P12+'Cashflow'!L13</f>
        <v>5517993399.1751</v>
      </c>
      <c r="O13" cm="1">
        <f t="array" ref="O13">(N13)*'Info'!$F$39</f>
        <v>827699009.876265</v>
      </c>
      <c r="P13" cm="1">
        <f t="array" ref="P13">N13+O13</f>
        <v>6345692409.05137</v>
      </c>
    </row>
    <row r="14">
      <c r="A14">
        <v>2038</v>
      </c>
      <c r="B14" cm="1">
        <f t="array" ref="B14">D13+'Cashflow'!D14</f>
        <v>2129096241.54516</v>
      </c>
      <c r="C14" cm="1">
        <f t="array" ref="C14">B14*'Info'!$F$31</f>
        <v>138391255.700435</v>
      </c>
      <c r="D14" cm="1">
        <f t="array" ref="D14">B14+C14</f>
        <v>2267487497.2456</v>
      </c>
      <c r="E14" cm="1">
        <f t="array" ref="E14">G13+'Cashflow'!K14</f>
        <v>9007793212.79985</v>
      </c>
      <c r="F14" cm="1">
        <f t="array" ref="F14">(E14)*'Info'!$F$33</f>
        <v>720623457.023988</v>
      </c>
      <c r="G14" cm="1">
        <f t="array" ref="G14">E14+F14</f>
        <v>9728416669.82384</v>
      </c>
      <c r="H14" cm="1">
        <f t="array" ref="H14">J13+'Cashflow'!N14</f>
        <v>40845079882.6922</v>
      </c>
      <c r="I14" cm="1">
        <f t="array" ref="I14">H14*'Info'!$F$43</f>
        <v>6126761982.40383</v>
      </c>
      <c r="J14" cm="1">
        <f t="array" ref="J14">H14+I14</f>
        <v>46971841865.096</v>
      </c>
      <c r="K14" cm="1">
        <f t="array" ref="K14">M13+'Cashflow'!M14</f>
        <v>4059003552.3676</v>
      </c>
      <c r="L14" cm="1">
        <f t="array" ref="L14">K14*'Info'!$F$40</f>
        <v>365310319.713084</v>
      </c>
      <c r="M14" cm="1">
        <f t="array" ref="M14">L14+K14</f>
        <v>4424313872.08068</v>
      </c>
      <c r="N14" cm="1">
        <f t="array" ref="N14">P13+'Cashflow'!L14</f>
        <v>6410193040.4493</v>
      </c>
      <c r="O14" cm="1">
        <f t="array" ref="O14">(N14)*'Info'!$F$39</f>
        <v>961528956.067395</v>
      </c>
      <c r="P14" cm="1">
        <f t="array" ref="P14">N14+O14</f>
        <v>7371721996.5167</v>
      </c>
    </row>
    <row r="15">
      <c r="A15">
        <v>2039</v>
      </c>
      <c r="B15" cm="1">
        <f t="array" ref="B15">D14+'Cashflow'!D15</f>
        <v>2267487497.2456</v>
      </c>
      <c r="C15" cm="1">
        <f t="array" ref="C15">B15*'Info'!$F$31</f>
        <v>147386687.320964</v>
      </c>
      <c r="D15" cm="1">
        <f t="array" ref="D15">B15+C15</f>
        <v>2414874184.56656</v>
      </c>
      <c r="E15" cm="1">
        <f t="array" ref="E15">G14+'Cashflow'!K15</f>
        <v>9853438368.53427</v>
      </c>
      <c r="F15" cm="1">
        <f t="array" ref="F15">(E15)*'Info'!$F$33</f>
        <v>788275069.482742</v>
      </c>
      <c r="G15" cm="1">
        <f t="array" ref="G15">E15+F15</f>
        <v>10641713438.017</v>
      </c>
      <c r="H15" cm="1">
        <f t="array" ref="H15">J14+'Cashflow'!N15</f>
        <v>47346906961.2273</v>
      </c>
      <c r="I15" cm="1">
        <f t="array" ref="I15">H15*'Info'!$F$43</f>
        <v>7102036044.1841</v>
      </c>
      <c r="J15" cm="1">
        <f t="array" ref="J15">H15+I15</f>
        <v>54448943005.4114</v>
      </c>
      <c r="K15" cm="1">
        <f t="array" ref="K15">M14+'Cashflow'!M15</f>
        <v>4486824721.43589</v>
      </c>
      <c r="L15" cm="1">
        <f t="array" ref="L15">K15*'Info'!$F$40</f>
        <v>403814224.92923</v>
      </c>
      <c r="M15" cm="1">
        <f t="array" ref="M15">L15+K15</f>
        <v>4890638946.36512</v>
      </c>
      <c r="N15" cm="1">
        <f t="array" ref="N15">P14+'Cashflow'!L15</f>
        <v>7434232845.87191</v>
      </c>
      <c r="O15" cm="1">
        <f t="array" ref="O15">(N15)*'Info'!$F$39</f>
        <v>1115134926.88079</v>
      </c>
      <c r="P15" cm="1">
        <f t="array" ref="P15">N15+O15</f>
        <v>8549367772.7527</v>
      </c>
    </row>
    <row r="16">
      <c r="A16">
        <v>2040</v>
      </c>
      <c r="B16" cm="1">
        <f t="array" ref="B16">D15+'Cashflow'!D16</f>
        <v>2414874184.56656</v>
      </c>
      <c r="C16" cm="1">
        <f t="array" ref="C16">B16*'Info'!$F$31</f>
        <v>156966821.996826</v>
      </c>
      <c r="D16" cm="1">
        <f t="array" ref="D16">B16+C16</f>
        <v>2571841006.56339</v>
      </c>
      <c r="E16" cm="1">
        <f t="array" ref="E16">G15+'Cashflow'!K16</f>
        <v>10769985621.7071</v>
      </c>
      <c r="F16" cm="1">
        <f t="array" ref="F16">(E16)*'Info'!$F$33</f>
        <v>861598849.736568</v>
      </c>
      <c r="G16" cm="1">
        <f t="array" ref="G16">E16+F16</f>
        <v>11631584471.4437</v>
      </c>
      <c r="H16" cm="1">
        <f t="array" ref="H16">J15+'Cashflow'!N16</f>
        <v>54833759556.4817</v>
      </c>
      <c r="I16" cm="1">
        <f t="array" ref="I16">H16*'Info'!$F$43</f>
        <v>8225063933.47226</v>
      </c>
      <c r="J16" cm="1">
        <f t="array" ref="J16">H16+I16</f>
        <v>63058823489.954</v>
      </c>
      <c r="K16" cm="1">
        <f t="array" ref="K16">M15+'Cashflow'!M16</f>
        <v>4954775038.21016</v>
      </c>
      <c r="L16" cm="1">
        <f t="array" ref="L16">K16*'Info'!$F$40</f>
        <v>445929753.438914</v>
      </c>
      <c r="M16" cm="1">
        <f t="array" ref="M16">L16+K16</f>
        <v>5400704791.64907</v>
      </c>
      <c r="N16" cm="1">
        <f t="array" ref="N16">P15+'Cashflow'!L16</f>
        <v>8613503864.59774</v>
      </c>
      <c r="O16" cm="1">
        <f t="array" ref="O16">(N16)*'Info'!$F$39</f>
        <v>1292025579.68966</v>
      </c>
      <c r="P16" cm="1">
        <f t="array" ref="P16">N16+O16</f>
        <v>9905529444.2874</v>
      </c>
    </row>
    <row r="17">
      <c r="A17">
        <v>2041</v>
      </c>
      <c r="B17" cm="1">
        <f t="array" ref="B17">D16+'Cashflow'!D17</f>
        <v>2571841006.56339</v>
      </c>
      <c r="C17" cm="1">
        <f t="array" ref="C17">B17*'Info'!$F$31</f>
        <v>167169665.42662</v>
      </c>
      <c r="D17" cm="1">
        <f t="array" ref="D17">B17+C17</f>
        <v>2739010671.99001</v>
      </c>
      <c r="E17" cm="1">
        <f t="array" ref="E17">G16+'Cashflow'!K17</f>
        <v>11763237159.5126</v>
      </c>
      <c r="F17" cm="1">
        <f t="array" ref="F17">(E17)*'Info'!$F$33</f>
        <v>941058972.761008</v>
      </c>
      <c r="G17" cm="1">
        <f t="array" ref="G17">E17+F17</f>
        <v>12704296132.2736</v>
      </c>
      <c r="H17" cm="1">
        <f t="array" ref="H17">J16+'Cashflow'!N17</f>
        <v>63453781554.1608</v>
      </c>
      <c r="I17" cm="1">
        <f t="array" ref="I17">H17*'Info'!$F$43</f>
        <v>9518067233.12412</v>
      </c>
      <c r="J17" cm="1">
        <f t="array" ref="J17">H17+I17</f>
        <v>72971848787.2849</v>
      </c>
      <c r="K17" cm="1">
        <f t="array" ref="K17">M16+'Cashflow'!M17</f>
        <v>5466531135.68354</v>
      </c>
      <c r="L17" cm="1">
        <f t="array" ref="L17">K17*'Info'!$F$40</f>
        <v>491987802.211519</v>
      </c>
      <c r="M17" cm="1">
        <f t="array" ref="M17">L17+K17</f>
        <v>5958518937.89506</v>
      </c>
      <c r="N17" cm="1">
        <f t="array" ref="N17">P16+'Cashflow'!L17</f>
        <v>9971355788.32187</v>
      </c>
      <c r="O17" cm="1">
        <f t="array" ref="O17">(N17)*'Info'!$F$39</f>
        <v>1495703368.24828</v>
      </c>
      <c r="P17" cm="1">
        <f t="array" ref="P17">N17+O17</f>
        <v>11467059156.5702</v>
      </c>
    </row>
    <row r="18">
      <c r="A18">
        <v>2042</v>
      </c>
      <c r="B18" cm="1">
        <f t="array" ref="B18">D17+'Cashflow'!D18</f>
        <v>2739010671.99001</v>
      </c>
      <c r="C18" cm="1">
        <f t="array" ref="C18">B18*'Info'!$F$31</f>
        <v>178035693.679351</v>
      </c>
      <c r="D18" cm="1">
        <f t="array" ref="D18">B18+C18</f>
        <v>2917046365.66936</v>
      </c>
      <c r="E18" cm="1">
        <f t="array" ref="E18">G17+'Cashflow'!K18</f>
        <v>12839464544.8965</v>
      </c>
      <c r="F18" cm="1">
        <f t="array" ref="F18">(E18)*'Info'!$F$33</f>
        <v>1027157163.59172</v>
      </c>
      <c r="G18" cm="1">
        <f t="array" ref="G18">E18+F18</f>
        <v>13866621708.4882</v>
      </c>
      <c r="H18" cm="1">
        <f t="array" ref="H18">J17+'Cashflow'!N18</f>
        <v>73377354025.1537</v>
      </c>
      <c r="I18" cm="1">
        <f t="array" ref="I18">H18*'Info'!$F$43</f>
        <v>11006603103.7731</v>
      </c>
      <c r="J18" cm="1">
        <f t="array" ref="J18">H18+I18</f>
        <v>84383957128.9268</v>
      </c>
      <c r="K18" cm="1">
        <f t="array" ref="K18">M17+'Cashflow'!M18</f>
        <v>6026103144.20653</v>
      </c>
      <c r="L18" cm="1">
        <f t="array" ref="L18">K18*'Info'!$F$40</f>
        <v>542349282.978588</v>
      </c>
      <c r="M18" cm="1">
        <f t="array" ref="M18">L18+K18</f>
        <v>6568452427.18512</v>
      </c>
      <c r="N18" cm="1">
        <f t="array" ref="N18">P17+'Cashflow'!L18</f>
        <v>11534643362.8817</v>
      </c>
      <c r="O18" cm="1">
        <f t="array" ref="O18">(N18)*'Info'!$F$39</f>
        <v>1730196504.43226</v>
      </c>
      <c r="P18" cm="1">
        <f t="array" ref="P18">N18+O18</f>
        <v>13264839867.314</v>
      </c>
    </row>
    <row r="19">
      <c r="A19">
        <v>2043</v>
      </c>
      <c r="B19" cm="1">
        <f t="array" ref="B19">D18+'Cashflow'!D19</f>
        <v>2917046365.66936</v>
      </c>
      <c r="C19" cm="1">
        <f t="array" ref="C19">B19*'Info'!$F$31</f>
        <v>189608013.768508</v>
      </c>
      <c r="D19" cm="1">
        <f t="array" ref="D19">B19+C19</f>
        <v>3106654379.43787</v>
      </c>
      <c r="E19" cm="1">
        <f t="array" ref="E19">G18+'Cashflow'!K19</f>
        <v>14005446474.6473</v>
      </c>
      <c r="F19" cm="1">
        <f t="array" ref="F19">(E19)*'Info'!$F$33</f>
        <v>1120435717.97178</v>
      </c>
      <c r="G19" cm="1">
        <f t="array" ref="G19">E19+F19</f>
        <v>15125882192.6191</v>
      </c>
      <c r="H19" cm="1">
        <f t="array" ref="H19">J18+'Cashflow'!N19</f>
        <v>84800431427.4041</v>
      </c>
      <c r="I19" cm="1">
        <f t="array" ref="I19">H19*'Info'!$F$43</f>
        <v>12720064714.1106</v>
      </c>
      <c r="J19" cm="1">
        <f t="array" ref="J19">H19+I19</f>
        <v>97520496141.5147</v>
      </c>
      <c r="K19" cm="1">
        <f t="array" ref="K19">M18+'Cashflow'!M19</f>
        <v>6637864810.26467</v>
      </c>
      <c r="L19" cm="1">
        <f t="array" ref="L19">K19*'Info'!$F$40</f>
        <v>597407832.92382</v>
      </c>
      <c r="M19" cm="1">
        <f t="array" ref="M19">L19+K19</f>
        <v>7235272643.18849</v>
      </c>
      <c r="N19" cm="1">
        <f t="array" ref="N19">P18+'Cashflow'!L19</f>
        <v>13334252250.3935</v>
      </c>
      <c r="O19" cm="1">
        <f t="array" ref="O19">(N19)*'Info'!$F$39</f>
        <v>2000137837.55903</v>
      </c>
      <c r="P19" cm="1">
        <f t="array" ref="P19">N19+O19</f>
        <v>15334390087.9525</v>
      </c>
    </row>
    <row r="20">
      <c r="A20">
        <v>2044</v>
      </c>
      <c r="B20" cm="1">
        <f t="array" ref="B20">D19+'Cashflow'!D20</f>
        <v>3106654379.43787</v>
      </c>
      <c r="C20" cm="1">
        <f t="array" ref="C20">B20*'Info'!$F$31</f>
        <v>201932534.663462</v>
      </c>
      <c r="D20" cm="1">
        <f t="array" ref="D20">B20+C20</f>
        <v>3308586914.10133</v>
      </c>
      <c r="E20" cm="1">
        <f t="array" ref="E20">G19+'Cashflow'!K20</f>
        <v>15268509566.4558</v>
      </c>
      <c r="F20" cm="1">
        <f t="array" ref="F20">(E20)*'Info'!$F$33</f>
        <v>1221480765.31646</v>
      </c>
      <c r="G20" cm="1">
        <f t="array" ref="G20">E20+F20</f>
        <v>16489990331.7723</v>
      </c>
      <c r="H20" cm="1">
        <f t="array" ref="H20">J19+'Cashflow'!N20</f>
        <v>97948378263.0248</v>
      </c>
      <c r="I20" cm="1">
        <f t="array" ref="I20">H20*'Info'!$F$43</f>
        <v>14692256739.4537</v>
      </c>
      <c r="J20" cm="1">
        <f t="array" ref="J20">H20+I20</f>
        <v>112640635002.479</v>
      </c>
      <c r="K20" cm="1">
        <f t="array" ref="K20">M19+'Cashflow'!M20</f>
        <v>7306586330.10684</v>
      </c>
      <c r="L20" cm="1">
        <f t="array" ref="L20">K20*'Info'!$F$40</f>
        <v>657592769.709616</v>
      </c>
      <c r="M20" cm="1">
        <f t="array" ref="M20">L20+K20</f>
        <v>7964179099.81646</v>
      </c>
      <c r="N20" cm="1">
        <f t="array" ref="N20">P19+'Cashflow'!L20</f>
        <v>15405703774.8709</v>
      </c>
      <c r="O20" cm="1">
        <f t="array" ref="O20">(N20)*'Info'!$F$39</f>
        <v>2310855566.23064</v>
      </c>
      <c r="P20" cm="1">
        <f t="array" ref="P20">N20+O20</f>
        <v>17716559341.1015</v>
      </c>
    </row>
  </sheetData>
  <pageMargins left="1" right="1" top="1" bottom="1" header="0.25" footer="0.25"/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Total Asset</vt:lpstr>
      <vt:lpstr>Investment</vt:lpstr>
      <vt:lpstr>Cashflow</vt:lpstr>
      <vt:lpstr>Income</vt:lpstr>
      <vt:lpstr>Bank</vt:lpstr>
      <vt:lpstr>Financial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